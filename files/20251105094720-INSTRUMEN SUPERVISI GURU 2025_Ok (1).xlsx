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ful\Downloads\"/>
    </mc:Choice>
  </mc:AlternateContent>
  <xr:revisionPtr revIDLastSave="0" documentId="13_ncr:1_{02F6B845-8B9A-4F24-8F02-DB08FCA9477D}" xr6:coauthVersionLast="47" xr6:coauthVersionMax="47" xr10:uidLastSave="{00000000-0000-0000-0000-000000000000}"/>
  <bookViews>
    <workbookView xWindow="-120" yWindow="-120" windowWidth="29040" windowHeight="15720" firstSheet="4" activeTab="3" xr2:uid="{265C9942-77A2-4EC2-BCB0-9A8137C4CA27}"/>
  </bookViews>
  <sheets>
    <sheet name="SAMPUL" sheetId="1" r:id="rId1"/>
    <sheet name="SPV. ADM. PEMBLJRN." sheetId="5" r:id="rId2"/>
    <sheet name="RPP-PPM" sheetId="7" r:id="rId3"/>
    <sheet name="SPV. PELAKSANAAN PEMBELAJARAN" sheetId="6" r:id="rId4"/>
    <sheet name="Analisis Data SUPAK" sheetId="9" r:id="rId5"/>
    <sheet name="Jadwal SUPAK" sheetId="10" r:id="rId6"/>
    <sheet name="Form_Telaah Instrumen SUPAK" sheetId="11" r:id="rId7"/>
    <sheet name="Form_Hasil SUPAK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7" l="1"/>
  <c r="F44" i="7"/>
  <c r="E44" i="7"/>
  <c r="H81" i="6"/>
  <c r="G81" i="6"/>
  <c r="E45" i="7" l="1"/>
  <c r="E46" i="7" s="1"/>
  <c r="F81" i="6"/>
  <c r="F33" i="5"/>
  <c r="E33" i="5"/>
  <c r="D33" i="5"/>
  <c r="H46" i="7" l="1"/>
  <c r="F82" i="6"/>
  <c r="F83" i="6" s="1"/>
  <c r="D34" i="5"/>
  <c r="D35" i="5" s="1"/>
  <c r="G35" i="5" s="1"/>
  <c r="I83" i="6" l="1"/>
</calcChain>
</file>

<file path=xl/sharedStrings.xml><?xml version="1.0" encoding="utf-8"?>
<sst xmlns="http://schemas.openxmlformats.org/spreadsheetml/2006/main" count="374" uniqueCount="270">
  <si>
    <t>SMK PROVINSI BANTEN</t>
  </si>
  <si>
    <t>Nama Guru</t>
  </si>
  <si>
    <t>: .............................................</t>
  </si>
  <si>
    <t>Sekolah</t>
  </si>
  <si>
    <t>Mata Pelajaran</t>
  </si>
  <si>
    <t>Kelas</t>
  </si>
  <si>
    <t>: ............................................</t>
  </si>
  <si>
    <t>Semester</t>
  </si>
  <si>
    <t>Supervisor</t>
  </si>
  <si>
    <t>Waktu Supervisi</t>
  </si>
  <si>
    <t>PETUNJUK PENGISIAN INSTRUMEN</t>
  </si>
  <si>
    <t>Langkah-langkah penilaian Pelaksanaan Pembelajaran  sebagai berikut:</t>
  </si>
  <si>
    <t>TAHUN AJARAN 2025/2026</t>
  </si>
  <si>
    <t>INSTRUMEN SUPERVISI PELAKSANAAN PEMBELAJARAN</t>
  </si>
  <si>
    <t xml:space="preserve"> Nama Sekolah</t>
  </si>
  <si>
    <t xml:space="preserve"> Nama Guru</t>
  </si>
  <si>
    <t xml:space="preserve"> Pangkat Golongan</t>
  </si>
  <si>
    <t xml:space="preserve"> Mata Pelajaran</t>
  </si>
  <si>
    <t>No</t>
  </si>
  <si>
    <t>Kondisi</t>
  </si>
  <si>
    <t>Keterangan</t>
  </si>
  <si>
    <t>Kalender Pendidikan</t>
  </si>
  <si>
    <t>Kepala Sekolah</t>
  </si>
  <si>
    <t>Guru Mata Pelajaran</t>
  </si>
  <si>
    <t xml:space="preserve">......................................... </t>
  </si>
  <si>
    <t>NIP...................................</t>
  </si>
  <si>
    <t>Mengetahui,</t>
  </si>
  <si>
    <t>: …...................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</si>
  <si>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Cermati format penilaian Pelaksanaan Pembelajaran;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</si>
  <si>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Berikan catatan khusus atau saran perbaikan pelaksanaan pembelajaran;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</si>
  <si>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Setelah selesai penilaian, hitung jumlah skor yang diperoleh, dan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</si>
  <si>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Berikan nilai pada setiap komponen dengan cara membubuhkan angka sesuai kolom yang </t>
    </r>
  </si>
  <si>
    <t>Komponen Administrasi Pembelajaran</t>
  </si>
  <si>
    <t>1.</t>
  </si>
  <si>
    <t>2.</t>
  </si>
  <si>
    <t>Program Tahunan</t>
  </si>
  <si>
    <t>3.</t>
  </si>
  <si>
    <t>Program Semester</t>
  </si>
  <si>
    <t>4.</t>
  </si>
  <si>
    <t>Alur Tujuan Pembelajaran</t>
  </si>
  <si>
    <t>5.</t>
  </si>
  <si>
    <t>6.</t>
  </si>
  <si>
    <t>Jadwal Tatap Muka</t>
  </si>
  <si>
    <t>7.</t>
  </si>
  <si>
    <t>Agenda Mengajar</t>
  </si>
  <si>
    <t>8.</t>
  </si>
  <si>
    <t>Daftar Nilai</t>
  </si>
  <si>
    <t>9.</t>
  </si>
  <si>
    <t>KKTP</t>
  </si>
  <si>
    <t>10.</t>
  </si>
  <si>
    <t>Absensi Siswa</t>
  </si>
  <si>
    <t>11.</t>
  </si>
  <si>
    <t>Buku Pegangan Guru</t>
  </si>
  <si>
    <t>Buku Teks Siswa</t>
  </si>
  <si>
    <t>Jumlah</t>
  </si>
  <si>
    <t>Skor Total</t>
  </si>
  <si>
    <t>Ketercapaian</t>
  </si>
  <si>
    <t xml:space="preserve">Jumlah Jam Tatap Muka </t>
  </si>
  <si>
    <t>Tindak Lanjut :</t>
  </si>
  <si>
    <t>Komponen Modul Ajar</t>
  </si>
  <si>
    <t>Hasil Telaah &amp; Skor</t>
  </si>
  <si>
    <t>Catatan</t>
  </si>
  <si>
    <t>A.</t>
  </si>
  <si>
    <t>B.</t>
  </si>
  <si>
    <t>C.</t>
  </si>
  <si>
    <t>D.</t>
  </si>
  <si>
    <t>F.</t>
  </si>
  <si>
    <t>I.</t>
  </si>
  <si>
    <t>Lampiran</t>
  </si>
  <si>
    <t>Pengalaman Belajar</t>
  </si>
  <si>
    <t>Total Skor</t>
  </si>
  <si>
    <t xml:space="preserve">       dipilih  sesuai dengan hasil pengamatan terhadap proses pembelajaran;</t>
  </si>
  <si>
    <r>
      <t>e.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Tentukan nilai menggunakan rumus yang tercantum pada instrumen ini.</t>
    </r>
  </si>
  <si>
    <t xml:space="preserve">Guru melakukan apersepsi bermakna (ada korelasi dengan kejadian sehari-hari yang aktual, faktual  dan kontekstual) atau materi sebelumnya, serta menjelaskan ruang lingkup, tujuan pembelajaran, dan teknik asesmen </t>
  </si>
  <si>
    <t>Guru melakukan asesmen diagnostik berupa tes awal (pretes) sesuai kompetensi dan konten tujuan pembelajaran.</t>
  </si>
  <si>
    <t>Guru mengintegrasikan nilai-nilai karakter dimensi profil lulusan dalam melakukan pembuka pembelajaran</t>
  </si>
  <si>
    <t>Guru memotivasi, memfasilitasi, membimbing, dan mendampingi kegiatan murid untuk melakukan tahapan model pembelajaran yang digunakan sesuai sintaksnya.</t>
  </si>
  <si>
    <t>Guru mengintegrasikan nilai-nilai karakter dimensi profil lulusan dalam setiap tahapan model pembelajaran yang digunakan.</t>
  </si>
  <si>
    <t xml:space="preserve">Guru memilih konten materi ajar sesuai karakteristik murid, dan disusun secara runtut menurut Alur Tujuan Pembelajaran </t>
  </si>
  <si>
    <t xml:space="preserve">Guru memilih sumber belajar sesuai Alur Tujuan Pembelajaran dan karakteristik murid </t>
  </si>
  <si>
    <t xml:space="preserve">Guru memilih media pembelajaran sesuai Alur Tujuan Pembelajaran, karakteristik murid, dan model pembelajaran yang digunakan </t>
  </si>
  <si>
    <t xml:space="preserve">Guru memfasilitasi murid membuat kesimpulan / melakukan refleksi sesuai tujuan pembelajaran </t>
  </si>
  <si>
    <t>12.</t>
  </si>
  <si>
    <t>13.</t>
  </si>
  <si>
    <t>Guru memberikan asesmen (baik formatif maupun sumatif) sesuai bentuk, teknik, rubrik dan instrumen tes yang digunakan, serta  sesuai indikator pencapaian tujuan pembelajaran</t>
  </si>
  <si>
    <t>14.</t>
  </si>
  <si>
    <t>Guru melaksanakan tindak lanjut  pembelajaran, seperti memberikan tugas individual/kelompok, dan/atau rencana pertemuan selanjutnya, serta memberikan arahan program remidial/pengayaan, dan layanan bimbingan dan konseling.</t>
  </si>
  <si>
    <t>Guru melakukan asesmen awal untuk mendiag-nosa kondisi awal dan kebutuhan belajar murid.</t>
  </si>
  <si>
    <t>Guru mengarahkan dan memotivasi murid untuk belajar secara antusias dan aktif.</t>
  </si>
  <si>
    <t>Guru menggunakan variasi metode dan teknik pembelajaran agar murid bisa memahami materi dan mencapai tujuan pembelajaran.</t>
  </si>
  <si>
    <t>Guru menyampaikan materi disertai dengan contoh- contoh kontekstual yang sesuai dengan kehidupan dan lingkungan nyata murid</t>
  </si>
  <si>
    <t>Guru mengarahkan murid untuk belajar melalui pengalaman nyata.</t>
  </si>
  <si>
    <t>Murid menyampaikan/ merefleksikan makna dari materi yang dipelajari dalam bentuk lisan, tulisan, gambar, atau simbol</t>
  </si>
  <si>
    <t>Guru membangun komunikasi pembelajaran yang interaktif dengan murid</t>
  </si>
  <si>
    <t>Guru menyampaikan tujuan pembelajaran dengan jelas dan runtut</t>
  </si>
  <si>
    <t>Guru menjelaskan materi pelajaran secara sistematis dari mudah ke sulit, sederhana ke kompleks, konkrit ke abstrak</t>
  </si>
  <si>
    <t>Guru menggunakan beragam sumber belajar dan mendorong murid untuk belajar dari beragam sumber belajar</t>
  </si>
  <si>
    <t>Guru menggunakan media pembelajaran yang relevan dengan materi yang diajarkan</t>
  </si>
  <si>
    <t>Guru menerapkan pembelajaran konstruktivisme, yaitu menyajikan materi dengan pembelajaran kontekstual / contoh atau pengalaman belajar yang nyata serta bermakna bagi murid</t>
  </si>
  <si>
    <t>Guru mendorong murid untuk berpikir kritis melalui aktif bertanya, menyampaikan pendapat, diskusi, dan bekerja dalam kelompok untuk menyelesaikan masalah</t>
  </si>
  <si>
    <t>Guru memberikan kesempatan kepada murid untuk  mengungkapkan atau mengekspresikan pemahamannya terkait materi yang dipelajarinya melalui beragam cara (lisan, tulisan, gambar, video, dll.)</t>
  </si>
  <si>
    <t>Guru melakukan asesmen formatif dan asesmen diagnostik dalam proses pembelajaran</t>
  </si>
  <si>
    <t>Guru membangun suasana belajar yang menyenangkan dan bermakna bagi murid</t>
  </si>
  <si>
    <t>Guru memberikan kesempatan kepada murid untuk belajar melalui observasi, eksperimen, atau praktik kerja nyata dalam menyelesaikan masalah</t>
  </si>
  <si>
    <t>Guru memberikan kesempatan kepada murid untuk menunjukkan aksi nyata terkait materi yang dipelajari secara kontekstual sesuai dengan kehidupan nyata</t>
  </si>
  <si>
    <t>Guru memberikan kesempatan kepada murid untuk menunjukkan kemampuannya melalui demonstrasi, simulasi, presentasi, atau karya nyata</t>
  </si>
  <si>
    <t>Guru memberikan kesempatan kepada murid untuk mengomunikasikan kesan, pesan, dan perasaan selama mengikuti pembelajaran</t>
  </si>
  <si>
    <t>Guru memberikan kesempatan kepada murid untuk merefleksikan materi pembelajaran, terkait esensi materi yang telah dikuasai, yang belum dikuasai, dan esensi materi yang ingin ditingkatkan. penguasaannya</t>
  </si>
  <si>
    <t>Guru menerapkan pembelajaran yang mendorong berpikir kritis, berpikir tingkat tinggi, dan praktik kerja nyata</t>
  </si>
  <si>
    <t>Guru menerapkan beragam model pembelajaran yang mendorong murid menyelesaikan masalah / menghasilkan produk secara kreatif (PBL, PjBL, inquiry, discovery, teaching factory, dll).</t>
  </si>
  <si>
    <t>Guru melibatkan murid selain sebagai subjek pembelajaran, juga sebagai rekan belajar</t>
  </si>
  <si>
    <t>Guru membangun budaya belajar yang positif dalam rangka mencapai tujuan pembelajaran utk menuju dimensi profil lulusan yang diharapkan</t>
  </si>
  <si>
    <t>Guru mendesain ruang belajar yang aman dan nyaman untuk belajar murid</t>
  </si>
  <si>
    <t>Guru memanfaatkan lingkungan sekitar sebagai sumber dan media pembelajaran</t>
  </si>
  <si>
    <t>Guru memanfaatkan ruang kelas nyata dan ruang kelas maya (LMS, online), serta memadukan ruang belajar keduanya (luring dan daring atau digital)</t>
  </si>
  <si>
    <t>Guru memanfaatkan perangkat digital untuk menunjang pembelajaran agar lebih efektif, interaktif, kolaboratif, dan menarik bagi murid</t>
  </si>
  <si>
    <t>Guru terampil/cakap dalam menggunakan perangkat digital dalam menunjang pembelajaran</t>
  </si>
  <si>
    <t>Pelaksanaan Pembelajaran</t>
  </si>
  <si>
    <t>Indikator</t>
  </si>
  <si>
    <t>Tahun Ajaran :</t>
  </si>
  <si>
    <t xml:space="preserve">Model Pembelajaran yang Digunakan: </t>
  </si>
  <si>
    <t xml:space="preserve">Nama  Guru       </t>
  </si>
  <si>
    <t xml:space="preserve">Mata Pelajaran </t>
  </si>
  <si>
    <t xml:space="preserve">Materi              </t>
  </si>
  <si>
    <t>Deskripsi Kegiatan Pembelajaran</t>
  </si>
  <si>
    <t>II.</t>
  </si>
  <si>
    <t xml:space="preserve">A. Kegiatan pendahuluan: </t>
  </si>
  <si>
    <r>
      <t xml:space="preserve">Guru melibatkan murid  memberikan umpan balik </t>
    </r>
    <r>
      <rPr>
        <i/>
        <sz val="11"/>
        <rFont val="Times New Roman"/>
        <family val="1"/>
      </rPr>
      <t>(follow up)</t>
    </r>
    <r>
      <rPr>
        <sz val="11"/>
        <rFont val="Times New Roman"/>
        <family val="1"/>
      </rPr>
      <t xml:space="preserve"> terhadap hasil pembelajaran sesuai nilai-nilai karakter dimensi profil lulusan</t>
    </r>
  </si>
  <si>
    <r>
      <t xml:space="preserve">Menerapkan Pembelajaran Mendalam </t>
    </r>
    <r>
      <rPr>
        <b/>
        <i/>
        <sz val="11"/>
        <rFont val="Times New Roman"/>
        <family val="1"/>
      </rPr>
      <t>(Deep Learning)</t>
    </r>
  </si>
  <si>
    <r>
      <t xml:space="preserve">Guru melibatkan rekan kerja </t>
    </r>
    <r>
      <rPr>
        <i/>
        <sz val="11"/>
        <rFont val="Times New Roman"/>
        <family val="1"/>
      </rPr>
      <t>(team teaching)</t>
    </r>
    <r>
      <rPr>
        <sz val="11"/>
        <rFont val="Times New Roman"/>
        <family val="1"/>
      </rPr>
      <t>, ahli, atau praktisi dalam menunjang penyampaian esensi materi pembelajaran</t>
    </r>
  </si>
  <si>
    <t xml:space="preserve">B. Kegiatan inti: </t>
  </si>
  <si>
    <t>C. Kegiatan penutup:</t>
  </si>
  <si>
    <t>A. Penerapan Prinsip Pembelajaran</t>
  </si>
  <si>
    <r>
      <t xml:space="preserve">1.  Berkesadaran </t>
    </r>
    <r>
      <rPr>
        <b/>
        <i/>
        <sz val="11"/>
        <rFont val="Times New Roman"/>
        <family val="1"/>
      </rPr>
      <t>(mindful)</t>
    </r>
  </si>
  <si>
    <t>a.</t>
  </si>
  <si>
    <t>b.</t>
  </si>
  <si>
    <t>c.</t>
  </si>
  <si>
    <t>d.</t>
  </si>
  <si>
    <t>e.</t>
  </si>
  <si>
    <t>f.</t>
  </si>
  <si>
    <r>
      <t xml:space="preserve">2. Bermakna </t>
    </r>
    <r>
      <rPr>
        <b/>
        <i/>
        <sz val="11"/>
        <rFont val="Times New Roman"/>
        <family val="1"/>
      </rPr>
      <t>(meaningful)</t>
    </r>
  </si>
  <si>
    <r>
      <t xml:space="preserve">3. Menggembirakan </t>
    </r>
    <r>
      <rPr>
        <b/>
        <i/>
        <sz val="11"/>
        <rFont val="Times New Roman"/>
        <family val="1"/>
      </rPr>
      <t>(joyful)</t>
    </r>
  </si>
  <si>
    <t>g.</t>
  </si>
  <si>
    <t>B. Penerapan Dimensi Pengalaman Belajar</t>
  </si>
  <si>
    <t>1. Memahami</t>
  </si>
  <si>
    <t>h.</t>
  </si>
  <si>
    <t>i.</t>
  </si>
  <si>
    <t>j.</t>
  </si>
  <si>
    <t>k.</t>
  </si>
  <si>
    <t>l.</t>
  </si>
  <si>
    <t>m.</t>
  </si>
  <si>
    <t>n.</t>
  </si>
  <si>
    <t>o.</t>
  </si>
  <si>
    <t>p.</t>
  </si>
  <si>
    <t>q.</t>
  </si>
  <si>
    <t>2. Mengaplikasikan</t>
  </si>
  <si>
    <t>3. Merefleksikan</t>
  </si>
  <si>
    <t>r.</t>
  </si>
  <si>
    <t>s.</t>
  </si>
  <si>
    <t>t.</t>
  </si>
  <si>
    <t>u.</t>
  </si>
  <si>
    <t>C. Penerapan Kerangka Pembelajaran</t>
  </si>
  <si>
    <t>1. Praktik Pedagogik</t>
  </si>
  <si>
    <t>4. Pemanfaatan Digital</t>
  </si>
  <si>
    <t>3. Lingkungan Belajar</t>
  </si>
  <si>
    <t>2. Kemitraan Pembelajaran</t>
  </si>
  <si>
    <t>:</t>
  </si>
  <si>
    <t>Fase/Kelas  :</t>
  </si>
  <si>
    <t>Semester      :</t>
  </si>
  <si>
    <t>…....................</t>
  </si>
  <si>
    <t>….....................</t>
  </si>
  <si>
    <t>INSTRUMEN  SUPERVISI  AKADEMIK</t>
  </si>
  <si>
    <t>MONITORING DAN EVALUASI PELAKSANAAN PEMBELAJARAN</t>
  </si>
  <si>
    <r>
      <rPr>
        <b/>
        <sz val="13"/>
        <rFont val="Times New Roman"/>
        <family val="1"/>
      </rPr>
      <t xml:space="preserve">PENDEKATAN PEMBELAJARAN MENDALAM </t>
    </r>
    <r>
      <rPr>
        <b/>
        <i/>
        <sz val="13"/>
        <rFont val="Times New Roman"/>
        <family val="1"/>
      </rPr>
      <t>(DEEP LEARNING)</t>
    </r>
  </si>
  <si>
    <t>(SUPERVISI ADMINISTRASI PERENCANAAN PEMBELAJARAN)</t>
  </si>
  <si>
    <t>(0)</t>
  </si>
  <si>
    <t>(1)</t>
  </si>
  <si>
    <t>(2)</t>
  </si>
  <si>
    <t xml:space="preserve">Sesuai Sebagian  </t>
  </si>
  <si>
    <t xml:space="preserve">Belum Sesuai </t>
  </si>
  <si>
    <t xml:space="preserve">Sesuai Semua  </t>
  </si>
  <si>
    <t>Mengetahui:</t>
  </si>
  <si>
    <t>H. Dwi Hendri Prajitno, S.Pd, M.Pd</t>
  </si>
  <si>
    <t>NIP. 197004262008011007</t>
  </si>
  <si>
    <t>NIP.197004262008011007</t>
  </si>
  <si>
    <t>Pengawas Pembina,</t>
  </si>
  <si>
    <t>Kepala Sekolah,</t>
  </si>
  <si>
    <t>Guru Mata Pelajaran,</t>
  </si>
  <si>
    <t>Kota Tangerang, …..... 2025</t>
  </si>
  <si>
    <t xml:space="preserve">Tidak Ada          </t>
  </si>
  <si>
    <t xml:space="preserve">Sudah Lengkap         </t>
  </si>
  <si>
    <t xml:space="preserve">Kurang Lengkap  </t>
  </si>
  <si>
    <t xml:space="preserve">Tidak Ada        </t>
  </si>
  <si>
    <t>Modul Ajar/RPP/PPM</t>
  </si>
  <si>
    <t xml:space="preserve">INSTRUMEN SUPERVISI AKADEMIK  </t>
  </si>
  <si>
    <t>( SUPERVISI PERENCANAAN PEMBELAJARAN MENDALAM)</t>
  </si>
  <si>
    <t>Identifikasi</t>
  </si>
  <si>
    <t>Desain Pembelajaran</t>
  </si>
  <si>
    <t>Menentukan topik pembelajaran yang kontekstual dan relevan</t>
  </si>
  <si>
    <t>Menentukan tujuan pembelajaran</t>
  </si>
  <si>
    <t>Menentukan kerangka pembelajaran (Praktek pedagogis, Lingkungan pembelajaran, Kemitraan pembelajaran dan Pemanfaatan digital)</t>
  </si>
  <si>
    <t>Mengintegrasikan lintas disiplin ilmu yang relevan dengan topik pembelajaran</t>
  </si>
  <si>
    <t>Menentukan capaian pembelajaran</t>
  </si>
  <si>
    <t>Terdapat: Nama Mata Pelajaran, Kelas, Fase, Nama penyusun, Institusi/Lembaga, Tahun disusun, Kelas, Aokasi waktu dll</t>
  </si>
  <si>
    <t>Identifikasi karakteristik murid</t>
  </si>
  <si>
    <t>Identifikasi karakteristik mata/materi pelajaran</t>
  </si>
  <si>
    <t>Menentukan dimensi profil lulusan</t>
  </si>
  <si>
    <t>Identitas Guru/Penyusun</t>
  </si>
  <si>
    <t>Merangcang pembelajaran dengan prinsip: Berkesadaran, Bermakna dan Menggembirakan</t>
  </si>
  <si>
    <t>Merancang tahapan pembelajaran dengan langkah-langkah: Kegiatan awal, Inti dan Penutup</t>
  </si>
  <si>
    <t>Mendeskripsikan pengalaman belajar meliputi: Memahami, Mengaplikasi dan Merefleksi</t>
  </si>
  <si>
    <t>E</t>
  </si>
  <si>
    <t>Asesmen</t>
  </si>
  <si>
    <t>Asesmen pada awal pembelajaran</t>
  </si>
  <si>
    <t>Asesmen pada proses pembelajaran</t>
  </si>
  <si>
    <t>Asesmen pada akhir pembelajaran</t>
  </si>
  <si>
    <t>Rubrik Penilaian</t>
  </si>
  <si>
    <t>Lembar Kerja Siswa/Murid/Jobsheet</t>
  </si>
  <si>
    <t xml:space="preserve">Ada dan Sesuai        </t>
  </si>
  <si>
    <t xml:space="preserve">Ada tetapi tidak Sesuai         </t>
  </si>
  <si>
    <t>Alamat Sekolah</t>
  </si>
  <si>
    <t>Wilayah Kota Tangerang dan Tangerang Selatan</t>
  </si>
  <si>
    <t>DINAS PENDIDIKAN DAN KEBUDAYAAN PROVINSI BANTEN</t>
  </si>
  <si>
    <t>Tahun 2025</t>
  </si>
  <si>
    <t xml:space="preserve">Cabang Dinas Pendidikan </t>
  </si>
  <si>
    <r>
      <t xml:space="preserve">Guru menggunakan </t>
    </r>
    <r>
      <rPr>
        <b/>
        <i/>
        <sz val="11"/>
        <rFont val="Times New Roman"/>
        <family val="1"/>
      </rPr>
      <t>model</t>
    </r>
    <r>
      <rPr>
        <sz val="11"/>
        <rFont val="Times New Roman"/>
        <family val="1"/>
      </rPr>
      <t xml:space="preserve"> pembelajaran sesuai arah pernyataan dimensi/indikator Tujuan Pembe-lajaran dan tahapan Alur Tujuan Pembelajaran </t>
    </r>
  </si>
  <si>
    <r>
      <t xml:space="preserve">Guru menggunakan </t>
    </r>
    <r>
      <rPr>
        <b/>
        <i/>
        <sz val="11"/>
        <rFont val="Times New Roman"/>
        <family val="1"/>
      </rPr>
      <t>strategi</t>
    </r>
    <r>
      <rPr>
        <sz val="11"/>
        <rFont val="Times New Roman"/>
        <family val="1"/>
      </rPr>
      <t xml:space="preserve"> pembelajaran (</t>
    </r>
    <r>
      <rPr>
        <b/>
        <i/>
        <sz val="11"/>
        <rFont val="Times New Roman"/>
        <family val="1"/>
      </rPr>
      <t>metode dan teknik</t>
    </r>
    <r>
      <rPr>
        <sz val="11"/>
        <rFont val="Times New Roman"/>
        <family val="1"/>
      </rPr>
      <t xml:space="preserve">) sesuai Alur Tujuan Pembe-lajaran, konten materi dan karakteristik murid </t>
    </r>
  </si>
  <si>
    <t xml:space="preserve">Analisis Data Supervisi Akademik </t>
  </si>
  <si>
    <t>Kelas/ Semester</t>
  </si>
  <si>
    <t>Mata pelajaran</t>
  </si>
  <si>
    <t>Hari/Tanggal</t>
  </si>
  <si>
    <t xml:space="preserve">NO </t>
  </si>
  <si>
    <t>KELEBIHAN</t>
  </si>
  <si>
    <t xml:space="preserve">KELEMAHAN </t>
  </si>
  <si>
    <t xml:space="preserve">KOMPONEN PENGAMATAN SUPERVISI AKADEMIK </t>
  </si>
  <si>
    <t xml:space="preserve">MASALAH YANG DITEMUKAN </t>
  </si>
  <si>
    <t xml:space="preserve">FAKTOR PENYEBAB </t>
  </si>
  <si>
    <t xml:space="preserve">PRIORITAS PERBAIKAN </t>
  </si>
  <si>
    <t>Format Jadwal Supervisi Akademik</t>
  </si>
  <si>
    <t xml:space="preserve">No. </t>
  </si>
  <si>
    <t>Mata Pelajaran/ CP/ TP
Dasar</t>
  </si>
  <si>
    <t xml:space="preserve">Nama Guru </t>
  </si>
  <si>
    <t xml:space="preserve">Hari/ Tanggal </t>
  </si>
  <si>
    <t xml:space="preserve">Kelas </t>
  </si>
  <si>
    <t xml:space="preserve">Jam Ke </t>
  </si>
  <si>
    <t xml:space="preserve">Fokus Masalah </t>
  </si>
  <si>
    <t xml:space="preserve"> Format Telaah Instrumen Supervisi Akademik</t>
  </si>
  <si>
    <t xml:space="preserve">Aspek </t>
  </si>
  <si>
    <t xml:space="preserve">Temuan-Temuan </t>
  </si>
  <si>
    <t xml:space="preserve">Rekomendasi </t>
  </si>
  <si>
    <t xml:space="preserve">Kegiatan 
Pendahuluan </t>
  </si>
  <si>
    <t xml:space="preserve">Kegiatan Inti </t>
  </si>
  <si>
    <t xml:space="preserve">Kegiatan Penutup </t>
  </si>
  <si>
    <t>Format Rekapitulasi Hasil Supervisi Akademik (SUPAK)</t>
  </si>
  <si>
    <t>Nama Sekolah</t>
  </si>
  <si>
    <t>NO</t>
  </si>
  <si>
    <t xml:space="preserve">NAMA GURU </t>
  </si>
  <si>
    <t>MAPEL</t>
  </si>
  <si>
    <t xml:space="preserve">MENGAJAR DI KELAS </t>
  </si>
  <si>
    <t xml:space="preserve">KEBERHASILAN </t>
  </si>
  <si>
    <t xml:space="preserve">HAL-HAL YANG HARUS DIPERBAIKI*) </t>
  </si>
  <si>
    <t xml:space="preserve">REKOMENDASI </t>
  </si>
  <si>
    <t xml:space="preserve">ALTERNATIF PEMECAHAN MASALAH/TINDAK LANJUT </t>
  </si>
  <si>
    <t>Tangerang,                             2025</t>
  </si>
  <si>
    <t>….................................................</t>
  </si>
  <si>
    <t>NIP.</t>
  </si>
  <si>
    <t>*) 1. RPP, 2. Pelaksanaan, 3. Penilaian</t>
  </si>
  <si>
    <t>Dr. Iman Sutarya, M.Pd.</t>
  </si>
  <si>
    <t>NIP 196905051998021002</t>
  </si>
  <si>
    <t>Kota Tangerang, ............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</si>
</sst>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7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rgb="FF363635"/>
      <name val="Times New Roman"/>
      <family val="1"/>
    </font>
    <font>
      <sz val="12"/>
      <name val="Times New Roman"/>
      <family val="1"/>
    </font>
    <font>
      <b/>
      <u val="double"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sz val="14"/>
      <color theme="1"/>
      <name val="Arial Nova Cond"/>
      <family val="2"/>
    </font>
    <font>
      <b/>
      <sz val="12"/>
      <color theme="1"/>
      <name val="Arial Nova Cond"/>
      <family val="2"/>
    </font>
    <font>
      <sz val="12"/>
      <color theme="1"/>
      <name val="Arial Nova Cond"/>
      <family val="2"/>
    </font>
    <font>
      <b/>
      <u/>
      <sz val="12"/>
      <color theme="1"/>
      <name val="Arial Nova Cond"/>
      <family val="2"/>
    </font>
    <font>
      <b/>
      <sz val="10"/>
      <color theme="1"/>
      <name val="Times New Roman"/>
      <family val="1"/>
    </font>
    <font>
      <b/>
      <sz val="7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17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/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11" fillId="0" borderId="9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5" fillId="0" borderId="9" xfId="0" applyFont="1" applyBorder="1" applyAlignment="1">
      <alignment vertical="top" wrapText="1"/>
    </xf>
    <xf numFmtId="0" fontId="15" fillId="2" borderId="9" xfId="0" applyFont="1" applyFill="1" applyBorder="1" applyAlignment="1">
      <alignment vertical="top" wrapText="1"/>
    </xf>
    <xf numFmtId="0" fontId="15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top" wrapText="1"/>
    </xf>
    <xf numFmtId="0" fontId="15" fillId="0" borderId="9" xfId="0" applyFont="1" applyBorder="1" applyAlignment="1">
      <alignment horizontal="left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21" xfId="0" quotePrefix="1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3" fillId="3" borderId="23" xfId="0" applyFont="1" applyFill="1" applyBorder="1" applyAlignment="1">
      <alignment vertical="center" wrapText="1"/>
    </xf>
    <xf numFmtId="0" fontId="6" fillId="3" borderId="24" xfId="0" applyFont="1" applyFill="1" applyBorder="1" applyAlignment="1">
      <alignment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quotePrefix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vertical="center" wrapText="1"/>
    </xf>
    <xf numFmtId="0" fontId="3" fillId="5" borderId="24" xfId="0" applyFont="1" applyFill="1" applyBorder="1" applyAlignment="1">
      <alignment vertical="center" wrapText="1"/>
    </xf>
    <xf numFmtId="0" fontId="15" fillId="2" borderId="10" xfId="0" applyFont="1" applyFill="1" applyBorder="1" applyAlignment="1">
      <alignment horizontal="center" vertical="top" wrapText="1"/>
    </xf>
    <xf numFmtId="0" fontId="15" fillId="2" borderId="10" xfId="0" applyFont="1" applyFill="1" applyBorder="1" applyAlignment="1">
      <alignment vertical="top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vertical="center" wrapText="1"/>
    </xf>
    <xf numFmtId="0" fontId="15" fillId="4" borderId="9" xfId="0" applyFont="1" applyFill="1" applyBorder="1" applyAlignment="1">
      <alignment horizontal="center" vertical="top" wrapText="1"/>
    </xf>
    <xf numFmtId="0" fontId="14" fillId="4" borderId="9" xfId="0" applyFont="1" applyFill="1" applyBorder="1" applyAlignment="1">
      <alignment vertical="top" wrapText="1"/>
    </xf>
    <xf numFmtId="0" fontId="1" fillId="4" borderId="9" xfId="0" applyFont="1" applyFill="1" applyBorder="1" applyAlignment="1">
      <alignment horizontal="justify"/>
    </xf>
    <xf numFmtId="0" fontId="14" fillId="4" borderId="9" xfId="0" applyFont="1" applyFill="1" applyBorder="1" applyAlignment="1">
      <alignment horizontal="center" vertical="top" wrapText="1"/>
    </xf>
    <xf numFmtId="0" fontId="6" fillId="4" borderId="16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left" vertical="top" wrapText="1"/>
    </xf>
    <xf numFmtId="0" fontId="15" fillId="7" borderId="9" xfId="0" applyFont="1" applyFill="1" applyBorder="1" applyAlignment="1">
      <alignment horizontal="left" vertical="top" wrapText="1"/>
    </xf>
    <xf numFmtId="0" fontId="20" fillId="0" borderId="0" xfId="0" applyFont="1"/>
    <xf numFmtId="0" fontId="20" fillId="0" borderId="9" xfId="0" applyFont="1" applyBorder="1"/>
    <xf numFmtId="0" fontId="21" fillId="3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 wrapText="1"/>
    </xf>
    <xf numFmtId="0" fontId="22" fillId="0" borderId="0" xfId="0" applyFont="1"/>
    <xf numFmtId="0" fontId="24" fillId="0" borderId="0" xfId="0" applyFont="1"/>
    <xf numFmtId="0" fontId="23" fillId="3" borderId="9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4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vertical="center" wrapText="1"/>
    </xf>
    <xf numFmtId="0" fontId="24" fillId="0" borderId="9" xfId="0" applyFont="1" applyBorder="1" applyAlignment="1">
      <alignment vertical="center"/>
    </xf>
    <xf numFmtId="0" fontId="24" fillId="0" borderId="9" xfId="0" applyFont="1" applyBorder="1"/>
    <xf numFmtId="0" fontId="25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2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3" borderId="3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vertical="center" wrapText="1"/>
    </xf>
    <xf numFmtId="0" fontId="3" fillId="4" borderId="16" xfId="0" applyFont="1" applyFill="1" applyBorder="1" applyAlignment="1">
      <alignment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41" fontId="3" fillId="3" borderId="21" xfId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5" borderId="34" xfId="0" applyFont="1" applyFill="1" applyBorder="1" applyAlignment="1">
      <alignment horizontal="center" vertical="center" wrapText="1"/>
    </xf>
    <xf numFmtId="0" fontId="3" fillId="5" borderId="35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0" fontId="3" fillId="5" borderId="37" xfId="0" applyFont="1" applyFill="1" applyBorder="1" applyAlignment="1">
      <alignment horizontal="center" vertical="center" wrapText="1"/>
    </xf>
    <xf numFmtId="0" fontId="3" fillId="5" borderId="31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41" fontId="3" fillId="5" borderId="21" xfId="1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 wrapText="1"/>
    </xf>
    <xf numFmtId="0" fontId="3" fillId="5" borderId="32" xfId="0" applyFont="1" applyFill="1" applyBorder="1" applyAlignment="1">
      <alignment horizontal="center" vertical="center" wrapText="1"/>
    </xf>
    <xf numFmtId="0" fontId="3" fillId="5" borderId="42" xfId="0" applyFont="1" applyFill="1" applyBorder="1" applyAlignment="1">
      <alignment horizontal="center" vertical="center" wrapText="1"/>
    </xf>
    <xf numFmtId="0" fontId="3" fillId="5" borderId="43" xfId="0" applyFont="1" applyFill="1" applyBorder="1" applyAlignment="1">
      <alignment horizontal="center" vertical="center" wrapText="1"/>
    </xf>
    <xf numFmtId="0" fontId="3" fillId="5" borderId="44" xfId="0" applyFont="1" applyFill="1" applyBorder="1" applyAlignment="1">
      <alignment horizontal="center" vertical="center" wrapText="1"/>
    </xf>
    <xf numFmtId="0" fontId="3" fillId="5" borderId="38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39" xfId="0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horizontal="center" vertical="center" wrapText="1"/>
    </xf>
    <xf numFmtId="0" fontId="14" fillId="8" borderId="31" xfId="0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 wrapText="1"/>
    </xf>
    <xf numFmtId="0" fontId="14" fillId="8" borderId="11" xfId="0" applyFont="1" applyFill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4" borderId="16" xfId="0" applyFont="1" applyFill="1" applyBorder="1" applyAlignment="1">
      <alignment vertical="top" wrapText="1"/>
    </xf>
    <xf numFmtId="0" fontId="14" fillId="4" borderId="9" xfId="0" applyFont="1" applyFill="1" applyBorder="1" applyAlignment="1">
      <alignment vertical="top" wrapText="1"/>
    </xf>
    <xf numFmtId="0" fontId="14" fillId="4" borderId="9" xfId="0" applyFont="1" applyFill="1" applyBorder="1" applyAlignment="1">
      <alignment vertical="center" wrapText="1"/>
    </xf>
    <xf numFmtId="0" fontId="14" fillId="4" borderId="9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justify"/>
    </xf>
    <xf numFmtId="0" fontId="22" fillId="0" borderId="0" xfId="0" applyFont="1" applyAlignment="1">
      <alignment horizontal="center"/>
    </xf>
    <xf numFmtId="0" fontId="23" fillId="3" borderId="9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26" fillId="5" borderId="17" xfId="0" applyFont="1" applyFill="1" applyBorder="1" applyAlignment="1">
      <alignment horizontal="center" vertical="center" wrapText="1"/>
    </xf>
    <xf numFmtId="0" fontId="26" fillId="5" borderId="21" xfId="0" quotePrefix="1" applyFont="1" applyFill="1" applyBorder="1" applyAlignment="1">
      <alignment horizontal="center" vertical="center" wrapText="1"/>
    </xf>
    <xf numFmtId="0" fontId="26" fillId="5" borderId="22" xfId="0" applyFont="1" applyFill="1" applyBorder="1" applyAlignment="1">
      <alignment horizontal="center" vertical="center" wrapText="1"/>
    </xf>
    <xf numFmtId="0" fontId="27" fillId="5" borderId="28" xfId="0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463550</xdr:colOff>
      <xdr:row>11</xdr:row>
      <xdr:rowOff>215900</xdr:rowOff>
    </xdr:from>
    <xdr:to>
      <xdr:col>6</xdr:col>
      <xdr:colOff>552450</xdr:colOff>
      <xdr:row>18</xdr:row>
      <xdr:rowOff>44450</xdr:rowOff>
    </xdr:to>
    <xdr:pic>
      <xdr:nvPicPr>
        <xdr:cNvPr id="2" name="Picture 1" descr="Graphic2">
          <a:extLst>
            <a:ext uri="{FF2B5EF4-FFF2-40B4-BE49-F238E27FC236}">
              <a16:creationId xmlns:a16="http://schemas.microsoft.com/office/drawing/2014/main" id="{E8955D79-405A-42DD-9286-2D15EDDB12D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2350" y="2178050"/>
          <a:ext cx="1308100" cy="134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135373</xdr:colOff>
      <xdr:row>36</xdr:row>
      <xdr:rowOff>135822</xdr:rowOff>
    </xdr:from>
    <xdr:to>
      <xdr:col>5</xdr:col>
      <xdr:colOff>641350</xdr:colOff>
      <xdr:row>46</xdr:row>
      <xdr:rowOff>88899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205222-DED9-49FB-AF6E-584C0BF4F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073" y="7736772"/>
          <a:ext cx="4392177" cy="1921577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0</xdr:row>
      <xdr:rowOff>66675</xdr:rowOff>
    </xdr:from>
    <xdr:to>
      <xdr:col>7</xdr:col>
      <xdr:colOff>19049</xdr:colOff>
      <xdr:row>7</xdr:row>
      <xdr:rowOff>186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9340D3-D8F9-B94E-48B4-7D8BC42B3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4" y="66675"/>
          <a:ext cx="5934075" cy="13336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336551</xdr:colOff>
      <xdr:row>46</xdr:row>
      <xdr:rowOff>153896</xdr:rowOff>
    </xdr:from>
    <xdr:to>
      <xdr:col>6</xdr:col>
      <xdr:colOff>320676</xdr:colOff>
      <xdr:row>56</xdr:row>
      <xdr:rowOff>83252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4B94AB-A438-4A53-94B4-DAFCF8985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976" y="20880296"/>
          <a:ext cx="4041775" cy="1881981"/>
        </a:xfrm>
        <a:prstGeom prst="rect">
          <a:avLst/>
        </a:prstGeom>
      </xdr:spPr>
    </xdr:pic>
    <xdr:clientData/>
  </xdr:twoCellAnchor>
  <xdr:twoCellAnchor editAs="oneCell">
    <xdr:from>
      <xdr:col>0</xdr:col>
      <xdr:colOff>228599</xdr:colOff>
      <xdr:row>0</xdr:row>
      <xdr:rowOff>76200</xdr:rowOff>
    </xdr:from>
    <xdr:to>
      <xdr:col>8</xdr:col>
      <xdr:colOff>47625</xdr:colOff>
      <xdr:row>7</xdr:row>
      <xdr:rowOff>9711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D623E4-EB37-4AA4-9BD0-2258C6C8F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599" y="76200"/>
          <a:ext cx="6096001" cy="13336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336551</xdr:colOff>
      <xdr:row>83</xdr:row>
      <xdr:rowOff>153896</xdr:rowOff>
    </xdr:from>
    <xdr:to>
      <xdr:col>7</xdr:col>
      <xdr:colOff>317501</xdr:colOff>
      <xdr:row>93</xdr:row>
      <xdr:rowOff>146752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B915B-4E70-464E-AEB2-EAC04475D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551" y="21883596"/>
          <a:ext cx="4229100" cy="1850231"/>
        </a:xfrm>
        <a:prstGeom prst="rect">
          <a:avLst/>
        </a:prstGeom>
      </xdr:spPr>
    </xdr:pic>
    <xdr:clientData/>
  </xdr:twoCellAnchor>
  <xdr:twoCellAnchor editAs="oneCell">
    <xdr:from>
      <xdr:col>1</xdr:col>
      <xdr:colOff>2</xdr:colOff>
      <xdr:row>0</xdr:row>
      <xdr:rowOff>0</xdr:rowOff>
    </xdr:from>
    <xdr:to>
      <xdr:col>8</xdr:col>
      <xdr:colOff>438151</xdr:colOff>
      <xdr:row>5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12362B-ADA1-4FA5-80CE-113FC0D51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7" y="0"/>
          <a:ext cx="6257924" cy="1181100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25</xdr:row>
      <xdr:rowOff>257176</xdr:rowOff>
    </xdr:from>
    <xdr:to>
      <xdr:col>15</xdr:col>
      <xdr:colOff>552451</xdr:colOff>
      <xdr:row>27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39968B-EC55-D07A-7C8D-917212C9D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34375" y="7667626"/>
          <a:ext cx="3429001" cy="95250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19050</xdr:colOff>
      <xdr:row>22</xdr:row>
      <xdr:rowOff>9526</xdr:rowOff>
    </xdr:from>
    <xdr:to>
      <xdr:col>15</xdr:col>
      <xdr:colOff>552450</xdr:colOff>
      <xdr:row>25</xdr:row>
      <xdr:rowOff>17878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5C8CD6-C19C-1F42-66CC-4B0A9A18B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24850" y="5886451"/>
          <a:ext cx="3438525" cy="1608552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19050</xdr:colOff>
      <xdr:row>17</xdr:row>
      <xdr:rowOff>60619</xdr:rowOff>
    </xdr:from>
    <xdr:to>
      <xdr:col>15</xdr:col>
      <xdr:colOff>533400</xdr:colOff>
      <xdr:row>21</xdr:row>
      <xdr:rowOff>314798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30835BD-801F-1B53-96A8-A45AE19D8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4850" y="3375319"/>
          <a:ext cx="3419475" cy="2292529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19050</xdr:colOff>
      <xdr:row>27</xdr:row>
      <xdr:rowOff>295275</xdr:rowOff>
    </xdr:from>
    <xdr:to>
      <xdr:col>18</xdr:col>
      <xdr:colOff>524594</xdr:colOff>
      <xdr:row>34</xdr:row>
      <xdr:rowOff>495818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916C2BB-28B2-6DE5-F288-66C73096F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24850" y="8848725"/>
          <a:ext cx="5153744" cy="3715268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AEDD-B46F-413F-B85A-1E868C40296A}">
  <dimension ref="B4:K55"/>
  <sheetViews>
    <sheetView topLeftCell="A28" workbookViewId="0">
      <selection activeCell="Q39" sqref="Q39"/>
    </sheetView>
  </sheetViews>
  <sheetFormatPr defaultColWidth="8.7109375" defaultRowHeight="15" x14ac:dyDescent="0.25"/>
  <cols>
    <col min="1" max="1" width="4" style="3" customWidth="1"/>
    <col min="2" max="16384" width="8.7109375" style="3"/>
  </cols>
  <sheetData>
    <row r="4" spans="2:11" ht="20.25" x14ac:dyDescent="0.25">
      <c r="B4" s="88" t="s">
        <v>13</v>
      </c>
      <c r="C4" s="88"/>
      <c r="D4" s="88"/>
      <c r="E4" s="88"/>
      <c r="F4" s="88"/>
      <c r="G4" s="88"/>
      <c r="H4" s="88"/>
      <c r="I4" s="88"/>
      <c r="J4" s="88"/>
      <c r="K4" s="88"/>
    </row>
    <row r="5" spans="2:11" ht="20.25" x14ac:dyDescent="0.25">
      <c r="B5" s="88" t="s">
        <v>0</v>
      </c>
      <c r="C5" s="88"/>
      <c r="D5" s="88"/>
      <c r="E5" s="88"/>
      <c r="F5" s="88"/>
      <c r="G5" s="88"/>
      <c r="H5" s="88"/>
      <c r="I5" s="88"/>
      <c r="J5" s="88"/>
      <c r="K5" s="88"/>
    </row>
    <row r="6" spans="2:11" ht="18.75" x14ac:dyDescent="0.25">
      <c r="B6" s="89" t="s">
        <v>12</v>
      </c>
      <c r="C6" s="89"/>
      <c r="D6" s="89"/>
      <c r="E6" s="89"/>
      <c r="F6" s="89"/>
      <c r="G6" s="89"/>
      <c r="H6" s="89"/>
      <c r="I6" s="89"/>
      <c r="J6" s="89"/>
      <c r="K6" s="89"/>
    </row>
    <row r="7" spans="2:11" ht="18.75" x14ac:dyDescent="0.25">
      <c r="B7" s="6"/>
      <c r="C7" s="6"/>
      <c r="D7" s="6"/>
      <c r="E7" s="6"/>
      <c r="F7" s="6"/>
      <c r="G7" s="6"/>
      <c r="H7" s="6"/>
      <c r="I7" s="6"/>
      <c r="J7" s="6"/>
      <c r="K7" s="6"/>
    </row>
    <row r="8" spans="2:11" ht="18.75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9" spans="2:11" ht="18.75" x14ac:dyDescent="0.25">
      <c r="B9" s="6"/>
      <c r="C9" s="6"/>
      <c r="D9" s="6"/>
      <c r="E9" s="6"/>
      <c r="F9" s="6"/>
      <c r="G9" s="6"/>
      <c r="H9" s="6"/>
      <c r="I9" s="6"/>
      <c r="J9" s="6"/>
      <c r="K9" s="6"/>
    </row>
    <row r="10" spans="2:11" ht="18.75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2:11" ht="18.75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2:11" ht="18.75" x14ac:dyDescent="0.25">
      <c r="B12" s="6"/>
    </row>
    <row r="14" spans="2:11" ht="18.75" x14ac:dyDescent="0.25">
      <c r="B14" s="6"/>
    </row>
    <row r="15" spans="2:11" ht="18.75" x14ac:dyDescent="0.25">
      <c r="B15" s="6"/>
    </row>
    <row r="16" spans="2:11" ht="18.75" x14ac:dyDescent="0.25">
      <c r="B16" s="6"/>
    </row>
    <row r="17" spans="2:6" ht="18.75" x14ac:dyDescent="0.25">
      <c r="B17" s="6"/>
    </row>
    <row r="18" spans="2:6" ht="18.75" x14ac:dyDescent="0.25">
      <c r="B18" s="6"/>
    </row>
    <row r="19" spans="2:6" ht="18.75" x14ac:dyDescent="0.25">
      <c r="B19" s="6"/>
    </row>
    <row r="20" spans="2:6" ht="18.75" x14ac:dyDescent="0.25">
      <c r="B20" s="6"/>
    </row>
    <row r="21" spans="2:6" ht="18.75" x14ac:dyDescent="0.25">
      <c r="B21" s="6"/>
    </row>
    <row r="22" spans="2:6" ht="18.75" x14ac:dyDescent="0.25">
      <c r="B22" s="6"/>
    </row>
    <row r="23" spans="2:6" ht="15.75" x14ac:dyDescent="0.25">
      <c r="D23" s="87" t="s">
        <v>1</v>
      </c>
      <c r="E23" s="87"/>
      <c r="F23" s="7" t="s">
        <v>2</v>
      </c>
    </row>
    <row r="24" spans="2:6" ht="15.75" x14ac:dyDescent="0.25">
      <c r="D24" s="87" t="s">
        <v>3</v>
      </c>
      <c r="E24" s="87"/>
      <c r="F24" s="7" t="s">
        <v>2</v>
      </c>
    </row>
    <row r="25" spans="2:6" ht="15.75" x14ac:dyDescent="0.25">
      <c r="D25" s="10" t="s">
        <v>220</v>
      </c>
      <c r="E25" s="10"/>
      <c r="F25" s="7" t="s">
        <v>2</v>
      </c>
    </row>
    <row r="26" spans="2:6" ht="15.75" x14ac:dyDescent="0.25">
      <c r="D26" s="87" t="s">
        <v>4</v>
      </c>
      <c r="E26" s="87"/>
      <c r="F26" s="7" t="s">
        <v>6</v>
      </c>
    </row>
    <row r="27" spans="2:6" ht="15.75" x14ac:dyDescent="0.25">
      <c r="D27" s="87" t="s">
        <v>5</v>
      </c>
      <c r="E27" s="87"/>
      <c r="F27" s="7" t="s">
        <v>6</v>
      </c>
    </row>
    <row r="28" spans="2:6" ht="15.75" x14ac:dyDescent="0.25">
      <c r="D28" s="87" t="s">
        <v>7</v>
      </c>
      <c r="E28" s="87"/>
      <c r="F28" s="7" t="s">
        <v>2</v>
      </c>
    </row>
    <row r="29" spans="2:6" ht="15.75" x14ac:dyDescent="0.25">
      <c r="D29" s="87" t="s">
        <v>8</v>
      </c>
      <c r="E29" s="87"/>
      <c r="F29" s="7" t="s">
        <v>2</v>
      </c>
    </row>
    <row r="30" spans="2:6" ht="15.75" x14ac:dyDescent="0.25">
      <c r="D30" s="87" t="s">
        <v>9</v>
      </c>
      <c r="E30" s="87"/>
      <c r="F30" s="7" t="s">
        <v>6</v>
      </c>
    </row>
    <row r="31" spans="2:6" ht="15.75" x14ac:dyDescent="0.25">
      <c r="B31" s="7"/>
    </row>
    <row r="32" spans="2:6" ht="15.75" x14ac:dyDescent="0.25">
      <c r="B32" s="7"/>
    </row>
    <row r="33" spans="2:11" ht="15.75" x14ac:dyDescent="0.25">
      <c r="B33" s="7"/>
    </row>
    <row r="34" spans="2:11" ht="15.75" x14ac:dyDescent="0.25">
      <c r="B34" s="7"/>
    </row>
    <row r="35" spans="2:11" ht="15.75" x14ac:dyDescent="0.25">
      <c r="B35" s="7"/>
    </row>
    <row r="36" spans="2:11" ht="15.75" x14ac:dyDescent="0.25">
      <c r="B36" s="7"/>
    </row>
    <row r="37" spans="2:11" ht="15.75" x14ac:dyDescent="0.25">
      <c r="B37" s="7"/>
    </row>
    <row r="38" spans="2:11" ht="20.25" x14ac:dyDescent="0.25">
      <c r="B38" s="88" t="s">
        <v>222</v>
      </c>
      <c r="C38" s="88"/>
      <c r="D38" s="88"/>
      <c r="E38" s="88"/>
      <c r="F38" s="88"/>
      <c r="G38" s="88"/>
      <c r="H38" s="88"/>
      <c r="I38" s="88"/>
      <c r="J38" s="88"/>
      <c r="K38" s="88"/>
    </row>
    <row r="39" spans="2:11" ht="22.5" x14ac:dyDescent="0.25">
      <c r="B39" s="86" t="s">
        <v>224</v>
      </c>
      <c r="C39" s="86"/>
      <c r="D39" s="86"/>
      <c r="E39" s="86"/>
      <c r="F39" s="86"/>
      <c r="G39" s="86"/>
      <c r="H39" s="86"/>
      <c r="I39" s="86"/>
      <c r="J39" s="86"/>
      <c r="K39" s="86"/>
    </row>
    <row r="40" spans="2:11" ht="22.5" x14ac:dyDescent="0.25">
      <c r="B40" s="86" t="s">
        <v>221</v>
      </c>
      <c r="C40" s="86"/>
      <c r="D40" s="86"/>
      <c r="E40" s="86"/>
      <c r="F40" s="86"/>
      <c r="G40" s="86"/>
      <c r="H40" s="86"/>
      <c r="I40" s="86"/>
      <c r="J40" s="86"/>
      <c r="K40" s="86"/>
    </row>
    <row r="41" spans="2:11" ht="22.5" x14ac:dyDescent="0.25">
      <c r="B41" s="86" t="s">
        <v>223</v>
      </c>
      <c r="C41" s="86"/>
      <c r="D41" s="86"/>
      <c r="E41" s="86"/>
      <c r="F41" s="86"/>
      <c r="G41" s="86"/>
      <c r="H41" s="86"/>
      <c r="I41" s="86"/>
      <c r="J41" s="86"/>
      <c r="K41" s="86"/>
    </row>
    <row r="42" spans="2:11" ht="15.75" x14ac:dyDescent="0.25">
      <c r="B42" s="8"/>
    </row>
    <row r="43" spans="2:11" ht="15.75" x14ac:dyDescent="0.25">
      <c r="B43" s="8"/>
    </row>
    <row r="44" spans="2:11" ht="15.75" x14ac:dyDescent="0.25">
      <c r="B44" s="8"/>
    </row>
    <row r="45" spans="2:11" ht="15.75" x14ac:dyDescent="0.25">
      <c r="B45" s="8"/>
    </row>
    <row r="46" spans="2:11" ht="15.75" x14ac:dyDescent="0.25">
      <c r="B46" s="8"/>
    </row>
    <row r="47" spans="2:11" ht="15.75" x14ac:dyDescent="0.25">
      <c r="B47" s="9" t="s">
        <v>10</v>
      </c>
    </row>
    <row r="48" spans="2:11" ht="15.75" x14ac:dyDescent="0.25">
      <c r="B48" s="9"/>
    </row>
    <row r="49" spans="2:2" ht="15.75" x14ac:dyDescent="0.25">
      <c r="B49" s="10" t="s">
        <v>11</v>
      </c>
    </row>
    <row r="50" spans="2:2" ht="15.75" x14ac:dyDescent="0.25">
      <c r="B50" s="10" t="s">
        <v>28</v>
      </c>
    </row>
    <row r="51" spans="2:2" ht="15.75" x14ac:dyDescent="0.25">
      <c r="B51" s="10" t="s">
        <v>31</v>
      </c>
    </row>
    <row r="52" spans="2:2" ht="15.75" x14ac:dyDescent="0.25">
      <c r="B52" s="10" t="s">
        <v>71</v>
      </c>
    </row>
    <row r="53" spans="2:2" ht="15.75" x14ac:dyDescent="0.25">
      <c r="B53" s="10" t="s">
        <v>29</v>
      </c>
    </row>
    <row r="54" spans="2:2" ht="15.75" x14ac:dyDescent="0.25">
      <c r="B54" s="10" t="s">
        <v>30</v>
      </c>
    </row>
    <row r="55" spans="2:2" ht="15.75" x14ac:dyDescent="0.25">
      <c r="B55" s="10" t="s">
        <v>72</v>
      </c>
    </row>
  </sheetData>
  <mergeCells count="14">
    <mergeCell ref="D26:E26"/>
    <mergeCell ref="B4:K4"/>
    <mergeCell ref="B5:K5"/>
    <mergeCell ref="B6:K6"/>
    <mergeCell ref="D23:E23"/>
    <mergeCell ref="D24:E24"/>
    <mergeCell ref="B41:K41"/>
    <mergeCell ref="D27:E27"/>
    <mergeCell ref="D28:E28"/>
    <mergeCell ref="D29:E29"/>
    <mergeCell ref="D30:E30"/>
    <mergeCell ref="B38:K38"/>
    <mergeCell ref="B39:K39"/>
    <mergeCell ref="B40:K40"/>
  </mergeCells>
  <pageMargins left="0.51181102362204722" right="0.51181102362204722" top="0.78740157480314965" bottom="0.55118110236220474" header="0.31496062992125984" footer="0.31496062992125984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18B0-6708-48B5-BB74-75FDCC99C683}">
  <dimension ref="B8:G69"/>
  <sheetViews>
    <sheetView topLeftCell="A19" workbookViewId="0">
      <selection activeCell="K28" sqref="K28"/>
    </sheetView>
  </sheetViews>
  <sheetFormatPr defaultColWidth="8.7109375" defaultRowHeight="15.75" x14ac:dyDescent="0.25"/>
  <cols>
    <col min="1" max="1" width="3.42578125" style="5" customWidth="1"/>
    <col min="2" max="2" width="5.85546875" style="5" customWidth="1"/>
    <col min="3" max="3" width="32.5703125" style="5" customWidth="1"/>
    <col min="4" max="4" width="8.5703125" style="5" customWidth="1"/>
    <col min="5" max="5" width="14.140625" style="5" customWidth="1"/>
    <col min="6" max="6" width="9.7109375" style="5" customWidth="1"/>
    <col min="7" max="7" width="17.140625" style="5" customWidth="1"/>
    <col min="8" max="16384" width="8.7109375" style="5"/>
  </cols>
  <sheetData>
    <row r="8" spans="2:7" ht="20.25" x14ac:dyDescent="0.3">
      <c r="B8" s="98" t="s">
        <v>194</v>
      </c>
      <c r="C8" s="98"/>
      <c r="D8" s="98"/>
      <c r="E8" s="98"/>
      <c r="F8" s="98"/>
      <c r="G8" s="98"/>
    </row>
    <row r="9" spans="2:7" x14ac:dyDescent="0.25">
      <c r="B9" s="99" t="s">
        <v>174</v>
      </c>
      <c r="C9" s="99"/>
      <c r="D9" s="99"/>
      <c r="E9" s="99"/>
      <c r="F9" s="99"/>
      <c r="G9" s="99"/>
    </row>
    <row r="10" spans="2:7" ht="8.1" customHeight="1" x14ac:dyDescent="0.25">
      <c r="B10" s="14"/>
      <c r="C10" s="14"/>
      <c r="D10" s="14"/>
      <c r="E10" s="14"/>
      <c r="F10" s="14"/>
      <c r="G10" s="14"/>
    </row>
    <row r="11" spans="2:7" ht="17.45" customHeight="1" x14ac:dyDescent="0.25">
      <c r="C11" s="7" t="s">
        <v>14</v>
      </c>
      <c r="D11" s="5" t="s">
        <v>27</v>
      </c>
    </row>
    <row r="12" spans="2:7" ht="17.45" customHeight="1" x14ac:dyDescent="0.25">
      <c r="C12" s="7" t="s">
        <v>15</v>
      </c>
      <c r="D12" s="5" t="s">
        <v>27</v>
      </c>
    </row>
    <row r="13" spans="2:7" ht="17.45" customHeight="1" x14ac:dyDescent="0.25">
      <c r="C13" s="7" t="s">
        <v>16</v>
      </c>
      <c r="D13" s="5" t="s">
        <v>27</v>
      </c>
    </row>
    <row r="14" spans="2:7" ht="17.45" customHeight="1" x14ac:dyDescent="0.25">
      <c r="C14" s="7" t="s">
        <v>17</v>
      </c>
      <c r="D14" s="5" t="s">
        <v>27</v>
      </c>
    </row>
    <row r="15" spans="2:7" ht="17.45" customHeight="1" x14ac:dyDescent="0.25">
      <c r="B15" s="7"/>
      <c r="C15" s="7" t="s">
        <v>57</v>
      </c>
      <c r="D15" s="5" t="s">
        <v>27</v>
      </c>
    </row>
    <row r="16" spans="2:7" ht="16.5" thickBot="1" x14ac:dyDescent="0.3">
      <c r="B16" s="7"/>
    </row>
    <row r="17" spans="2:7" ht="21" customHeight="1" x14ac:dyDescent="0.25">
      <c r="B17" s="112" t="s">
        <v>18</v>
      </c>
      <c r="C17" s="109" t="s">
        <v>32</v>
      </c>
      <c r="D17" s="93" t="s">
        <v>19</v>
      </c>
      <c r="E17" s="93"/>
      <c r="F17" s="93"/>
      <c r="G17" s="115" t="s">
        <v>20</v>
      </c>
    </row>
    <row r="18" spans="2:7" ht="24" customHeight="1" x14ac:dyDescent="0.25">
      <c r="B18" s="113"/>
      <c r="C18" s="110"/>
      <c r="D18" s="95" t="s">
        <v>189</v>
      </c>
      <c r="E18" s="95" t="s">
        <v>219</v>
      </c>
      <c r="F18" s="95" t="s">
        <v>218</v>
      </c>
      <c r="G18" s="116"/>
    </row>
    <row r="19" spans="2:7" ht="16.5" customHeight="1" x14ac:dyDescent="0.25">
      <c r="B19" s="113"/>
      <c r="C19" s="110"/>
      <c r="D19" s="95"/>
      <c r="E19" s="95"/>
      <c r="F19" s="95"/>
      <c r="G19" s="116"/>
    </row>
    <row r="20" spans="2:7" ht="22.5" customHeight="1" thickBot="1" x14ac:dyDescent="0.3">
      <c r="B20" s="114"/>
      <c r="C20" s="111"/>
      <c r="D20" s="34" t="s">
        <v>175</v>
      </c>
      <c r="E20" s="34" t="s">
        <v>176</v>
      </c>
      <c r="F20" s="34" t="s">
        <v>177</v>
      </c>
      <c r="G20" s="117"/>
    </row>
    <row r="21" spans="2:7" ht="16.5" customHeight="1" x14ac:dyDescent="0.25">
      <c r="B21" s="41" t="s">
        <v>33</v>
      </c>
      <c r="C21" s="42" t="s">
        <v>21</v>
      </c>
      <c r="D21" s="43"/>
      <c r="E21" s="43"/>
      <c r="F21" s="43">
        <v>2</v>
      </c>
      <c r="G21" s="44"/>
    </row>
    <row r="22" spans="2:7" ht="16.5" customHeight="1" x14ac:dyDescent="0.25">
      <c r="B22" s="45" t="s">
        <v>34</v>
      </c>
      <c r="C22" s="13" t="s">
        <v>35</v>
      </c>
      <c r="D22" s="12"/>
      <c r="E22" s="12"/>
      <c r="F22" s="12">
        <v>2</v>
      </c>
      <c r="G22" s="36"/>
    </row>
    <row r="23" spans="2:7" ht="16.5" customHeight="1" x14ac:dyDescent="0.25">
      <c r="B23" s="45" t="s">
        <v>36</v>
      </c>
      <c r="C23" s="13" t="s">
        <v>37</v>
      </c>
      <c r="D23" s="12"/>
      <c r="E23" s="12"/>
      <c r="F23" s="12">
        <v>2</v>
      </c>
      <c r="G23" s="36"/>
    </row>
    <row r="24" spans="2:7" ht="16.5" customHeight="1" x14ac:dyDescent="0.25">
      <c r="B24" s="45" t="s">
        <v>38</v>
      </c>
      <c r="C24" s="13" t="s">
        <v>39</v>
      </c>
      <c r="D24" s="12"/>
      <c r="E24" s="12"/>
      <c r="F24" s="12">
        <v>2</v>
      </c>
      <c r="G24" s="36"/>
    </row>
    <row r="25" spans="2:7" ht="16.5" customHeight="1" x14ac:dyDescent="0.25">
      <c r="B25" s="45" t="s">
        <v>40</v>
      </c>
      <c r="C25" s="13" t="s">
        <v>193</v>
      </c>
      <c r="D25" s="12"/>
      <c r="E25" s="12"/>
      <c r="F25" s="12">
        <v>2</v>
      </c>
      <c r="G25" s="36"/>
    </row>
    <row r="26" spans="2:7" ht="16.5" customHeight="1" x14ac:dyDescent="0.25">
      <c r="B26" s="45" t="s">
        <v>41</v>
      </c>
      <c r="C26" s="13" t="s">
        <v>42</v>
      </c>
      <c r="D26" s="12"/>
      <c r="E26" s="12"/>
      <c r="F26" s="12">
        <v>2</v>
      </c>
      <c r="G26" s="36"/>
    </row>
    <row r="27" spans="2:7" ht="16.5" customHeight="1" x14ac:dyDescent="0.25">
      <c r="B27" s="45" t="s">
        <v>43</v>
      </c>
      <c r="C27" s="13" t="s">
        <v>44</v>
      </c>
      <c r="D27" s="12"/>
      <c r="E27" s="12"/>
      <c r="F27" s="12">
        <v>2</v>
      </c>
      <c r="G27" s="36"/>
    </row>
    <row r="28" spans="2:7" ht="16.5" customHeight="1" x14ac:dyDescent="0.25">
      <c r="B28" s="45" t="s">
        <v>45</v>
      </c>
      <c r="C28" s="13" t="s">
        <v>46</v>
      </c>
      <c r="D28" s="12"/>
      <c r="E28" s="12"/>
      <c r="F28" s="12">
        <v>2</v>
      </c>
      <c r="G28" s="36"/>
    </row>
    <row r="29" spans="2:7" ht="16.5" customHeight="1" x14ac:dyDescent="0.25">
      <c r="B29" s="45" t="s">
        <v>47</v>
      </c>
      <c r="C29" s="13" t="s">
        <v>48</v>
      </c>
      <c r="D29" s="12"/>
      <c r="E29" s="12"/>
      <c r="F29" s="12">
        <v>2</v>
      </c>
      <c r="G29" s="36"/>
    </row>
    <row r="30" spans="2:7" ht="16.5" customHeight="1" x14ac:dyDescent="0.25">
      <c r="B30" s="45" t="s">
        <v>49</v>
      </c>
      <c r="C30" s="13" t="s">
        <v>50</v>
      </c>
      <c r="D30" s="12"/>
      <c r="E30" s="12"/>
      <c r="F30" s="12">
        <v>2</v>
      </c>
      <c r="G30" s="36"/>
    </row>
    <row r="31" spans="2:7" ht="16.5" customHeight="1" x14ac:dyDescent="0.25">
      <c r="B31" s="45" t="s">
        <v>51</v>
      </c>
      <c r="C31" s="13" t="s">
        <v>52</v>
      </c>
      <c r="D31" s="12"/>
      <c r="E31" s="12"/>
      <c r="F31" s="12">
        <v>2</v>
      </c>
      <c r="G31" s="36"/>
    </row>
    <row r="32" spans="2:7" ht="16.5" customHeight="1" thickBot="1" x14ac:dyDescent="0.3">
      <c r="B32" s="37">
        <v>12</v>
      </c>
      <c r="C32" s="39" t="s">
        <v>53</v>
      </c>
      <c r="D32" s="18"/>
      <c r="E32" s="18"/>
      <c r="F32" s="18">
        <v>2</v>
      </c>
      <c r="G32" s="40"/>
    </row>
    <row r="33" spans="2:7" ht="16.5" customHeight="1" x14ac:dyDescent="0.25">
      <c r="B33" s="92" t="s">
        <v>54</v>
      </c>
      <c r="C33" s="93"/>
      <c r="D33" s="33">
        <f>SUM(D21:D32)</f>
        <v>0</v>
      </c>
      <c r="E33" s="33">
        <f t="shared" ref="E33:F33" si="0">SUM(E21:E32)</f>
        <v>0</v>
      </c>
      <c r="F33" s="33">
        <f t="shared" si="0"/>
        <v>24</v>
      </c>
      <c r="G33" s="47"/>
    </row>
    <row r="34" spans="2:7" ht="16.5" customHeight="1" x14ac:dyDescent="0.25">
      <c r="B34" s="94" t="s">
        <v>55</v>
      </c>
      <c r="C34" s="95"/>
      <c r="D34" s="95">
        <f>D33+E33+F33</f>
        <v>24</v>
      </c>
      <c r="E34" s="95"/>
      <c r="F34" s="95"/>
      <c r="G34" s="48"/>
    </row>
    <row r="35" spans="2:7" ht="42.75" customHeight="1" thickBot="1" x14ac:dyDescent="0.3">
      <c r="B35" s="96" t="s">
        <v>56</v>
      </c>
      <c r="C35" s="97"/>
      <c r="D35" s="100">
        <f>SUM(D34/24)*100</f>
        <v>100</v>
      </c>
      <c r="E35" s="100"/>
      <c r="F35" s="100"/>
      <c r="G35" s="49" t="str">
        <f>IF(D35&gt;90,"SANGAT BAIK/SB",IF(D35&gt;75,"BAIK/B",IF(D35&gt;59,"CUKUP/C",IF(D35&lt;60,"KURANG/K"))))</f>
        <v>SANGAT BAIK/SB</v>
      </c>
    </row>
    <row r="48" spans="2:7" ht="16.5" thickBot="1" x14ac:dyDescent="0.3">
      <c r="C48" s="1" t="s">
        <v>58</v>
      </c>
    </row>
    <row r="49" spans="2:7" x14ac:dyDescent="0.25">
      <c r="C49" s="101"/>
      <c r="D49" s="102"/>
      <c r="E49" s="102"/>
      <c r="F49" s="102"/>
      <c r="G49" s="103"/>
    </row>
    <row r="50" spans="2:7" x14ac:dyDescent="0.25">
      <c r="C50" s="104"/>
      <c r="D50" s="90"/>
      <c r="E50" s="90"/>
      <c r="F50" s="90"/>
      <c r="G50" s="105"/>
    </row>
    <row r="51" spans="2:7" x14ac:dyDescent="0.25">
      <c r="C51" s="104"/>
      <c r="D51" s="90"/>
      <c r="E51" s="90"/>
      <c r="F51" s="90"/>
      <c r="G51" s="105"/>
    </row>
    <row r="52" spans="2:7" ht="16.5" thickBot="1" x14ac:dyDescent="0.3">
      <c r="C52" s="106"/>
      <c r="D52" s="107"/>
      <c r="E52" s="107"/>
      <c r="F52" s="107"/>
      <c r="G52" s="108"/>
    </row>
    <row r="54" spans="2:7" x14ac:dyDescent="0.25">
      <c r="F54" s="2" t="s">
        <v>188</v>
      </c>
    </row>
    <row r="55" spans="2:7" x14ac:dyDescent="0.25">
      <c r="C55" s="2" t="s">
        <v>186</v>
      </c>
      <c r="F55" s="2" t="s">
        <v>187</v>
      </c>
    </row>
    <row r="56" spans="2:7" x14ac:dyDescent="0.25">
      <c r="C56" s="3"/>
      <c r="F56" s="3"/>
    </row>
    <row r="57" spans="2:7" x14ac:dyDescent="0.25">
      <c r="C57" s="3"/>
      <c r="F57" s="3"/>
    </row>
    <row r="58" spans="2:7" x14ac:dyDescent="0.25">
      <c r="C58" s="3"/>
      <c r="F58" s="3"/>
    </row>
    <row r="59" spans="2:7" x14ac:dyDescent="0.25">
      <c r="C59" s="3"/>
      <c r="F59" s="3"/>
    </row>
    <row r="60" spans="2:7" x14ac:dyDescent="0.25">
      <c r="C60" s="4" t="s">
        <v>24</v>
      </c>
      <c r="F60" s="4" t="s">
        <v>24</v>
      </c>
    </row>
    <row r="61" spans="2:7" x14ac:dyDescent="0.25">
      <c r="C61" s="2" t="s">
        <v>25</v>
      </c>
      <c r="F61" s="2" t="s">
        <v>25</v>
      </c>
    </row>
    <row r="63" spans="2:7" x14ac:dyDescent="0.25">
      <c r="B63" s="90" t="s">
        <v>26</v>
      </c>
      <c r="C63" s="90"/>
      <c r="D63" s="90"/>
      <c r="E63" s="90"/>
      <c r="F63" s="90"/>
      <c r="G63" s="90"/>
    </row>
    <row r="64" spans="2:7" x14ac:dyDescent="0.25">
      <c r="B64" s="90" t="s">
        <v>185</v>
      </c>
      <c r="C64" s="90"/>
      <c r="D64" s="90"/>
      <c r="E64" s="90"/>
      <c r="F64" s="90"/>
      <c r="G64" s="90"/>
    </row>
    <row r="68" spans="2:7" x14ac:dyDescent="0.25">
      <c r="B68" s="91" t="s">
        <v>182</v>
      </c>
      <c r="C68" s="91"/>
      <c r="D68" s="91"/>
      <c r="E68" s="91"/>
      <c r="F68" s="91"/>
      <c r="G68" s="91"/>
    </row>
    <row r="69" spans="2:7" x14ac:dyDescent="0.25">
      <c r="B69" s="90" t="s">
        <v>184</v>
      </c>
      <c r="C69" s="90"/>
      <c r="D69" s="90"/>
      <c r="E69" s="90"/>
      <c r="F69" s="90"/>
      <c r="G69" s="90"/>
    </row>
  </sheetData>
  <mergeCells count="19">
    <mergeCell ref="B8:G8"/>
    <mergeCell ref="B9:G9"/>
    <mergeCell ref="D34:F34"/>
    <mergeCell ref="D35:F35"/>
    <mergeCell ref="C49:G52"/>
    <mergeCell ref="D17:F17"/>
    <mergeCell ref="D18:D19"/>
    <mergeCell ref="E18:E19"/>
    <mergeCell ref="F18:F19"/>
    <mergeCell ref="C17:C20"/>
    <mergeCell ref="B17:B20"/>
    <mergeCell ref="G17:G20"/>
    <mergeCell ref="B64:G64"/>
    <mergeCell ref="B68:G68"/>
    <mergeCell ref="B69:G69"/>
    <mergeCell ref="B33:C33"/>
    <mergeCell ref="B34:C34"/>
    <mergeCell ref="B35:C35"/>
    <mergeCell ref="B63:G63"/>
  </mergeCells>
  <pageMargins left="0.70866141732283472" right="0.31496062992125984" top="0.55118110236220474" bottom="0.15748031496062992" header="0.31496062992125984" footer="0.31496062992125984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DCBF-4D51-42C6-8DBC-5CAD4DB30C7B}">
  <dimension ref="B9:J73"/>
  <sheetViews>
    <sheetView topLeftCell="A63" workbookViewId="0">
      <selection activeCell="I52" sqref="I52"/>
    </sheetView>
  </sheetViews>
  <sheetFormatPr defaultColWidth="8.7109375" defaultRowHeight="15.75" x14ac:dyDescent="0.25"/>
  <cols>
    <col min="1" max="1" width="3.42578125" style="5" customWidth="1"/>
    <col min="2" max="2" width="4.42578125" style="5" customWidth="1"/>
    <col min="3" max="3" width="3.140625" style="5" customWidth="1"/>
    <col min="4" max="4" width="39.42578125" style="5" customWidth="1"/>
    <col min="5" max="5" width="9.28515625" style="5" customWidth="1"/>
    <col min="6" max="6" width="9.140625" style="5" customWidth="1"/>
    <col min="7" max="7" width="11.28515625" style="5" customWidth="1"/>
    <col min="8" max="8" width="14" style="5" customWidth="1"/>
    <col min="9" max="16384" width="8.7109375" style="5"/>
  </cols>
  <sheetData>
    <row r="9" spans="3:8" ht="20.25" x14ac:dyDescent="0.3">
      <c r="C9" s="98" t="s">
        <v>194</v>
      </c>
      <c r="D9" s="98"/>
      <c r="E9" s="98"/>
      <c r="F9" s="98"/>
      <c r="G9" s="98"/>
      <c r="H9" s="98"/>
    </row>
    <row r="10" spans="3:8" x14ac:dyDescent="0.25">
      <c r="C10" s="99" t="s">
        <v>195</v>
      </c>
      <c r="D10" s="99"/>
      <c r="E10" s="99"/>
      <c r="F10" s="99"/>
      <c r="G10" s="99"/>
      <c r="H10" s="99"/>
    </row>
    <row r="11" spans="3:8" ht="8.1" customHeight="1" x14ac:dyDescent="0.25">
      <c r="C11" s="14"/>
      <c r="D11" s="14"/>
      <c r="E11" s="14"/>
      <c r="F11" s="14"/>
      <c r="G11" s="14"/>
      <c r="H11" s="14"/>
    </row>
    <row r="12" spans="3:8" ht="17.45" customHeight="1" x14ac:dyDescent="0.25">
      <c r="D12" s="7" t="s">
        <v>14</v>
      </c>
      <c r="E12" s="5" t="s">
        <v>27</v>
      </c>
    </row>
    <row r="13" spans="3:8" ht="17.45" customHeight="1" x14ac:dyDescent="0.25">
      <c r="D13" s="7" t="s">
        <v>15</v>
      </c>
      <c r="E13" s="11" t="s">
        <v>27</v>
      </c>
    </row>
    <row r="14" spans="3:8" ht="17.45" customHeight="1" x14ac:dyDescent="0.25">
      <c r="D14" s="7" t="s">
        <v>16</v>
      </c>
      <c r="E14" s="5" t="s">
        <v>27</v>
      </c>
    </row>
    <row r="15" spans="3:8" ht="17.45" customHeight="1" x14ac:dyDescent="0.25">
      <c r="D15" s="7" t="s">
        <v>17</v>
      </c>
      <c r="E15" s="5" t="s">
        <v>27</v>
      </c>
    </row>
    <row r="16" spans="3:8" ht="17.45" customHeight="1" x14ac:dyDescent="0.25">
      <c r="C16" s="7"/>
      <c r="D16" s="7" t="s">
        <v>57</v>
      </c>
      <c r="E16" s="5" t="s">
        <v>27</v>
      </c>
    </row>
    <row r="17" spans="2:8" ht="16.5" thickBot="1" x14ac:dyDescent="0.3">
      <c r="C17" s="7"/>
    </row>
    <row r="18" spans="2:8" ht="21" customHeight="1" x14ac:dyDescent="0.25">
      <c r="B18" s="92" t="s">
        <v>18</v>
      </c>
      <c r="C18" s="93" t="s">
        <v>59</v>
      </c>
      <c r="D18" s="93"/>
      <c r="E18" s="93" t="s">
        <v>60</v>
      </c>
      <c r="F18" s="93"/>
      <c r="G18" s="93"/>
      <c r="H18" s="115" t="s">
        <v>61</v>
      </c>
    </row>
    <row r="19" spans="2:8" ht="32.25" customHeight="1" x14ac:dyDescent="0.25">
      <c r="B19" s="94"/>
      <c r="C19" s="95"/>
      <c r="D19" s="95"/>
      <c r="E19" s="32" t="s">
        <v>192</v>
      </c>
      <c r="F19" s="32" t="s">
        <v>191</v>
      </c>
      <c r="G19" s="32" t="s">
        <v>190</v>
      </c>
      <c r="H19" s="116"/>
    </row>
    <row r="20" spans="2:8" ht="22.5" customHeight="1" thickBot="1" x14ac:dyDescent="0.3">
      <c r="B20" s="96"/>
      <c r="C20" s="97"/>
      <c r="D20" s="97"/>
      <c r="E20" s="34" t="s">
        <v>175</v>
      </c>
      <c r="F20" s="34" t="s">
        <v>176</v>
      </c>
      <c r="G20" s="34" t="s">
        <v>177</v>
      </c>
      <c r="H20" s="117"/>
    </row>
    <row r="21" spans="2:8" ht="19.5" customHeight="1" x14ac:dyDescent="0.25">
      <c r="B21" s="52" t="s">
        <v>62</v>
      </c>
      <c r="C21" s="119" t="s">
        <v>207</v>
      </c>
      <c r="D21" s="119"/>
      <c r="E21" s="53"/>
      <c r="F21" s="53"/>
      <c r="G21" s="53"/>
      <c r="H21" s="54"/>
    </row>
    <row r="22" spans="2:8" ht="60" customHeight="1" x14ac:dyDescent="0.25">
      <c r="B22" s="35"/>
      <c r="C22" s="12">
        <v>1</v>
      </c>
      <c r="D22" s="13" t="s">
        <v>203</v>
      </c>
      <c r="E22" s="12"/>
      <c r="F22" s="12"/>
      <c r="G22" s="12">
        <v>2</v>
      </c>
      <c r="H22" s="36"/>
    </row>
    <row r="23" spans="2:8" ht="30.95" customHeight="1" x14ac:dyDescent="0.25">
      <c r="B23" s="55" t="s">
        <v>63</v>
      </c>
      <c r="C23" s="118" t="s">
        <v>196</v>
      </c>
      <c r="D23" s="118"/>
      <c r="E23" s="56"/>
      <c r="F23" s="56"/>
      <c r="G23" s="56"/>
      <c r="H23" s="57"/>
    </row>
    <row r="24" spans="2:8" ht="16.5" customHeight="1" x14ac:dyDescent="0.25">
      <c r="B24" s="120"/>
      <c r="C24" s="12">
        <v>2</v>
      </c>
      <c r="D24" s="13" t="s">
        <v>204</v>
      </c>
      <c r="E24" s="12"/>
      <c r="F24" s="12"/>
      <c r="G24" s="12">
        <v>2</v>
      </c>
      <c r="H24" s="36"/>
    </row>
    <row r="25" spans="2:8" ht="28.5" customHeight="1" x14ac:dyDescent="0.25">
      <c r="B25" s="121"/>
      <c r="C25" s="12">
        <v>3</v>
      </c>
      <c r="D25" s="13" t="s">
        <v>205</v>
      </c>
      <c r="E25" s="12"/>
      <c r="F25" s="12"/>
      <c r="G25" s="12">
        <v>2</v>
      </c>
      <c r="H25" s="36"/>
    </row>
    <row r="26" spans="2:8" ht="16.5" customHeight="1" x14ac:dyDescent="0.25">
      <c r="B26" s="38"/>
      <c r="C26" s="12">
        <v>4</v>
      </c>
      <c r="D26" s="13" t="s">
        <v>206</v>
      </c>
      <c r="E26" s="18"/>
      <c r="F26" s="18"/>
      <c r="G26" s="18">
        <v>2</v>
      </c>
      <c r="H26" s="36"/>
    </row>
    <row r="27" spans="2:8" ht="17.25" customHeight="1" x14ac:dyDescent="0.25">
      <c r="B27" s="55" t="s">
        <v>64</v>
      </c>
      <c r="C27" s="118" t="s">
        <v>197</v>
      </c>
      <c r="D27" s="118"/>
      <c r="E27" s="58"/>
      <c r="F27" s="58"/>
      <c r="G27" s="58"/>
      <c r="H27" s="57"/>
    </row>
    <row r="28" spans="2:8" ht="19.5" customHeight="1" x14ac:dyDescent="0.25">
      <c r="B28" s="120"/>
      <c r="C28" s="12">
        <v>5</v>
      </c>
      <c r="D28" s="15" t="s">
        <v>202</v>
      </c>
      <c r="E28" s="12"/>
      <c r="F28" s="12"/>
      <c r="G28" s="12">
        <v>2</v>
      </c>
      <c r="H28" s="36"/>
    </row>
    <row r="29" spans="2:8" ht="37.5" customHeight="1" x14ac:dyDescent="0.25">
      <c r="B29" s="121"/>
      <c r="C29" s="12">
        <v>6</v>
      </c>
      <c r="D29" s="13" t="s">
        <v>198</v>
      </c>
      <c r="E29" s="12"/>
      <c r="F29" s="12"/>
      <c r="G29" s="12">
        <v>2</v>
      </c>
      <c r="H29" s="36"/>
    </row>
    <row r="30" spans="2:8" ht="37.5" customHeight="1" x14ac:dyDescent="0.25">
      <c r="B30" s="38"/>
      <c r="C30" s="12">
        <v>7</v>
      </c>
      <c r="D30" s="13" t="s">
        <v>201</v>
      </c>
      <c r="E30" s="12"/>
      <c r="F30" s="12"/>
      <c r="G30" s="12">
        <v>2</v>
      </c>
      <c r="H30" s="36"/>
    </row>
    <row r="31" spans="2:8" ht="26.25" customHeight="1" x14ac:dyDescent="0.25">
      <c r="B31" s="38"/>
      <c r="C31" s="12">
        <v>8</v>
      </c>
      <c r="D31" s="13" t="s">
        <v>199</v>
      </c>
      <c r="E31" s="12"/>
      <c r="F31" s="12"/>
      <c r="G31" s="12">
        <v>2</v>
      </c>
      <c r="H31" s="36"/>
    </row>
    <row r="32" spans="2:8" ht="68.25" customHeight="1" x14ac:dyDescent="0.25">
      <c r="B32" s="38"/>
      <c r="C32" s="12">
        <v>9</v>
      </c>
      <c r="D32" s="13" t="s">
        <v>200</v>
      </c>
      <c r="E32" s="12"/>
      <c r="F32" s="12"/>
      <c r="G32" s="12">
        <v>2</v>
      </c>
      <c r="H32" s="36"/>
    </row>
    <row r="33" spans="2:10" ht="16.5" customHeight="1" x14ac:dyDescent="0.25">
      <c r="B33" s="55" t="s">
        <v>65</v>
      </c>
      <c r="C33" s="118" t="s">
        <v>69</v>
      </c>
      <c r="D33" s="118"/>
      <c r="E33" s="56"/>
      <c r="F33" s="56"/>
      <c r="G33" s="56"/>
      <c r="H33" s="57"/>
    </row>
    <row r="34" spans="2:10" ht="56.25" customHeight="1" x14ac:dyDescent="0.25">
      <c r="B34" s="120"/>
      <c r="C34" s="12">
        <v>10</v>
      </c>
      <c r="D34" s="15" t="s">
        <v>208</v>
      </c>
      <c r="E34" s="12"/>
      <c r="F34" s="12"/>
      <c r="G34" s="12">
        <v>2</v>
      </c>
      <c r="H34" s="36"/>
    </row>
    <row r="35" spans="2:10" ht="51" customHeight="1" x14ac:dyDescent="0.25">
      <c r="B35" s="121"/>
      <c r="C35" s="12">
        <v>11</v>
      </c>
      <c r="D35" s="15" t="s">
        <v>209</v>
      </c>
      <c r="E35" s="12"/>
      <c r="F35" s="12"/>
      <c r="G35" s="12">
        <v>2</v>
      </c>
      <c r="H35" s="36"/>
    </row>
    <row r="36" spans="2:10" ht="50.25" customHeight="1" x14ac:dyDescent="0.25">
      <c r="B36" s="38"/>
      <c r="C36" s="12">
        <v>12</v>
      </c>
      <c r="D36" s="15" t="s">
        <v>210</v>
      </c>
      <c r="E36" s="18"/>
      <c r="F36" s="18"/>
      <c r="G36" s="18">
        <v>2</v>
      </c>
      <c r="H36" s="36"/>
    </row>
    <row r="37" spans="2:10" x14ac:dyDescent="0.25">
      <c r="B37" s="55" t="s">
        <v>211</v>
      </c>
      <c r="C37" s="118" t="s">
        <v>212</v>
      </c>
      <c r="D37" s="118"/>
      <c r="E37" s="58"/>
      <c r="F37" s="58"/>
      <c r="G37" s="58"/>
      <c r="H37" s="57"/>
    </row>
    <row r="38" spans="2:10" x14ac:dyDescent="0.25">
      <c r="B38" s="35"/>
      <c r="C38" s="12">
        <v>13</v>
      </c>
      <c r="D38" s="13" t="s">
        <v>213</v>
      </c>
      <c r="E38" s="12"/>
      <c r="F38" s="12"/>
      <c r="G38" s="12">
        <v>2</v>
      </c>
      <c r="H38" s="36"/>
    </row>
    <row r="39" spans="2:10" x14ac:dyDescent="0.25">
      <c r="B39" s="35"/>
      <c r="C39" s="12">
        <v>14</v>
      </c>
      <c r="D39" s="13" t="s">
        <v>214</v>
      </c>
      <c r="E39" s="12"/>
      <c r="F39" s="12"/>
      <c r="G39" s="12">
        <v>2</v>
      </c>
      <c r="H39" s="36"/>
    </row>
    <row r="40" spans="2:10" x14ac:dyDescent="0.25">
      <c r="B40" s="35"/>
      <c r="C40" s="12">
        <v>15</v>
      </c>
      <c r="D40" s="13" t="s">
        <v>215</v>
      </c>
      <c r="E40" s="12"/>
      <c r="F40" s="12"/>
      <c r="G40" s="12">
        <v>2</v>
      </c>
      <c r="H40" s="36"/>
    </row>
    <row r="41" spans="2:10" x14ac:dyDescent="0.25">
      <c r="B41" s="55" t="s">
        <v>66</v>
      </c>
      <c r="C41" s="118" t="s">
        <v>68</v>
      </c>
      <c r="D41" s="118"/>
      <c r="E41" s="56"/>
      <c r="F41" s="56"/>
      <c r="G41" s="56"/>
      <c r="H41" s="57"/>
    </row>
    <row r="42" spans="2:10" x14ac:dyDescent="0.25">
      <c r="B42" s="35"/>
      <c r="C42" s="12">
        <v>16</v>
      </c>
      <c r="D42" s="13" t="s">
        <v>217</v>
      </c>
      <c r="E42" s="12"/>
      <c r="F42" s="12"/>
      <c r="G42" s="12">
        <v>2</v>
      </c>
      <c r="H42" s="36"/>
    </row>
    <row r="43" spans="2:10" ht="16.5" thickBot="1" x14ac:dyDescent="0.3">
      <c r="B43" s="35"/>
      <c r="C43" s="12">
        <v>17</v>
      </c>
      <c r="D43" s="13" t="s">
        <v>216</v>
      </c>
      <c r="E43" s="12"/>
      <c r="F43" s="12"/>
      <c r="G43" s="12">
        <v>2</v>
      </c>
      <c r="H43" s="36"/>
    </row>
    <row r="44" spans="2:10" x14ac:dyDescent="0.25">
      <c r="B44" s="122" t="s">
        <v>54</v>
      </c>
      <c r="C44" s="123"/>
      <c r="D44" s="123"/>
      <c r="E44" s="33">
        <f>SUM(E39:E43)</f>
        <v>0</v>
      </c>
      <c r="F44" s="33">
        <f>SUM(F39:F43)</f>
        <v>0</v>
      </c>
      <c r="G44" s="33">
        <f>SUM(G22:G43)</f>
        <v>34</v>
      </c>
      <c r="H44" s="47"/>
    </row>
    <row r="45" spans="2:10" x14ac:dyDescent="0.25">
      <c r="B45" s="124" t="s">
        <v>70</v>
      </c>
      <c r="C45" s="125"/>
      <c r="D45" s="125"/>
      <c r="E45" s="95">
        <f>E44+F44+G44</f>
        <v>34</v>
      </c>
      <c r="F45" s="95"/>
      <c r="G45" s="95"/>
      <c r="H45" s="51"/>
      <c r="J45" s="46"/>
    </row>
    <row r="46" spans="2:10" ht="40.5" customHeight="1" thickBot="1" x14ac:dyDescent="0.3">
      <c r="B46" s="126" t="s">
        <v>56</v>
      </c>
      <c r="C46" s="127"/>
      <c r="D46" s="127"/>
      <c r="E46" s="128">
        <f>SUM(E45/34)*100</f>
        <v>100</v>
      </c>
      <c r="F46" s="128"/>
      <c r="G46" s="128"/>
      <c r="H46" s="50" t="str">
        <f>IF(E46&gt;90,"SANGAT BAIK/SB",IF(E46&gt;75,"BAIK/B",IF(E46&gt;59,"CUKUP/C",IF(E46&lt;60,"KURANG/K"))))</f>
        <v>SANGAT BAIK/SB</v>
      </c>
    </row>
    <row r="51" spans="4:8" x14ac:dyDescent="0.25">
      <c r="D51" s="3"/>
      <c r="E51" s="3"/>
      <c r="F51" s="3"/>
      <c r="G51" s="3"/>
      <c r="H51" s="3"/>
    </row>
    <row r="52" spans="4:8" x14ac:dyDescent="0.25">
      <c r="D52" s="3"/>
      <c r="E52" s="3"/>
      <c r="F52" s="3"/>
      <c r="G52" s="3"/>
      <c r="H52" s="3"/>
    </row>
    <row r="53" spans="4:8" x14ac:dyDescent="0.25">
      <c r="D53" s="3"/>
      <c r="E53" s="3"/>
      <c r="F53" s="3"/>
      <c r="G53" s="3"/>
      <c r="H53" s="3"/>
    </row>
    <row r="54" spans="4:8" x14ac:dyDescent="0.25">
      <c r="D54" s="3"/>
      <c r="E54" s="3"/>
      <c r="F54" s="3"/>
      <c r="G54" s="3"/>
      <c r="H54" s="3"/>
    </row>
    <row r="55" spans="4:8" x14ac:dyDescent="0.25">
      <c r="D55" s="3"/>
      <c r="E55" s="3"/>
      <c r="F55" s="3"/>
      <c r="G55" s="3"/>
      <c r="H55" s="3"/>
    </row>
    <row r="58" spans="4:8" x14ac:dyDescent="0.25">
      <c r="G58" s="2" t="s">
        <v>188</v>
      </c>
    </row>
    <row r="59" spans="4:8" x14ac:dyDescent="0.25">
      <c r="D59" s="2" t="s">
        <v>186</v>
      </c>
      <c r="G59" s="2" t="s">
        <v>187</v>
      </c>
    </row>
    <row r="60" spans="4:8" x14ac:dyDescent="0.25">
      <c r="D60" s="3"/>
      <c r="G60" s="3"/>
    </row>
    <row r="61" spans="4:8" x14ac:dyDescent="0.25">
      <c r="D61" s="3"/>
      <c r="G61" s="3"/>
    </row>
    <row r="62" spans="4:8" x14ac:dyDescent="0.25">
      <c r="D62" s="3"/>
      <c r="G62" s="3"/>
    </row>
    <row r="63" spans="4:8" x14ac:dyDescent="0.25">
      <c r="D63" s="3"/>
      <c r="G63" s="3"/>
    </row>
    <row r="64" spans="4:8" x14ac:dyDescent="0.25">
      <c r="D64" s="4" t="s">
        <v>24</v>
      </c>
      <c r="G64" s="4" t="s">
        <v>24</v>
      </c>
    </row>
    <row r="65" spans="3:8" x14ac:dyDescent="0.25">
      <c r="D65" s="2" t="s">
        <v>25</v>
      </c>
      <c r="G65" s="2" t="s">
        <v>25</v>
      </c>
    </row>
    <row r="67" spans="3:8" x14ac:dyDescent="0.25">
      <c r="C67" s="90" t="s">
        <v>26</v>
      </c>
      <c r="D67" s="90"/>
      <c r="E67" s="90"/>
      <c r="F67" s="90"/>
      <c r="G67" s="90"/>
      <c r="H67" s="90"/>
    </row>
    <row r="68" spans="3:8" x14ac:dyDescent="0.25">
      <c r="C68" s="90" t="s">
        <v>185</v>
      </c>
      <c r="D68" s="90"/>
      <c r="E68" s="90"/>
      <c r="F68" s="90"/>
      <c r="G68" s="90"/>
      <c r="H68" s="90"/>
    </row>
    <row r="72" spans="3:8" x14ac:dyDescent="0.25">
      <c r="C72" s="91" t="s">
        <v>182</v>
      </c>
      <c r="D72" s="91"/>
      <c r="E72" s="91"/>
      <c r="F72" s="91"/>
      <c r="G72" s="91"/>
      <c r="H72" s="91"/>
    </row>
    <row r="73" spans="3:8" x14ac:dyDescent="0.25">
      <c r="C73" s="90" t="s">
        <v>184</v>
      </c>
      <c r="D73" s="90"/>
      <c r="E73" s="90"/>
      <c r="F73" s="90"/>
      <c r="G73" s="90"/>
      <c r="H73" s="90"/>
    </row>
  </sheetData>
  <mergeCells count="24">
    <mergeCell ref="C73:H73"/>
    <mergeCell ref="E45:G45"/>
    <mergeCell ref="B46:D46"/>
    <mergeCell ref="E46:G46"/>
    <mergeCell ref="C67:H67"/>
    <mergeCell ref="C68:H68"/>
    <mergeCell ref="C72:H72"/>
    <mergeCell ref="C37:D37"/>
    <mergeCell ref="C41:D41"/>
    <mergeCell ref="B44:D44"/>
    <mergeCell ref="B45:D45"/>
    <mergeCell ref="B34:B35"/>
    <mergeCell ref="C33:D33"/>
    <mergeCell ref="C9:H9"/>
    <mergeCell ref="C10:H10"/>
    <mergeCell ref="B18:B20"/>
    <mergeCell ref="C18:D20"/>
    <mergeCell ref="E18:G18"/>
    <mergeCell ref="H18:H20"/>
    <mergeCell ref="C21:D21"/>
    <mergeCell ref="C23:D23"/>
    <mergeCell ref="B24:B25"/>
    <mergeCell ref="C27:D27"/>
    <mergeCell ref="B28:B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A55B-C73C-4264-BEB0-9468B4EDE04A}">
  <dimension ref="B8:K107"/>
  <sheetViews>
    <sheetView tabSelected="1" topLeftCell="A87" workbookViewId="0">
      <selection activeCell="E111" sqref="E111"/>
    </sheetView>
  </sheetViews>
  <sheetFormatPr defaultColWidth="8.7109375" defaultRowHeight="15.75" x14ac:dyDescent="0.25"/>
  <cols>
    <col min="1" max="1" width="1.5703125" style="5" customWidth="1"/>
    <col min="2" max="2" width="3.42578125" style="5" customWidth="1"/>
    <col min="3" max="3" width="13.85546875" style="5" customWidth="1"/>
    <col min="4" max="4" width="3.28515625" style="5" customWidth="1"/>
    <col min="5" max="5" width="46.5703125" style="5" customWidth="1"/>
    <col min="6" max="6" width="6.28515625" style="5" customWidth="1"/>
    <col min="7" max="7" width="7.85546875" style="5" customWidth="1"/>
    <col min="8" max="8" width="6" style="5" customWidth="1"/>
    <col min="9" max="9" width="7.28515625" style="5" customWidth="1"/>
    <col min="10" max="16384" width="8.7109375" style="5"/>
  </cols>
  <sheetData>
    <row r="8" spans="3:11" ht="4.5" customHeight="1" x14ac:dyDescent="0.25"/>
    <row r="9" spans="3:11" ht="17.45" customHeight="1" x14ac:dyDescent="0.25">
      <c r="C9" s="88" t="s">
        <v>171</v>
      </c>
      <c r="D9" s="88"/>
      <c r="E9" s="88"/>
      <c r="F9" s="88"/>
      <c r="G9" s="88"/>
      <c r="H9" s="88"/>
      <c r="I9" s="88"/>
      <c r="J9"/>
      <c r="K9"/>
    </row>
    <row r="10" spans="3:11" ht="17.45" customHeight="1" x14ac:dyDescent="0.25">
      <c r="C10" s="129" t="s">
        <v>172</v>
      </c>
      <c r="D10" s="129"/>
      <c r="E10" s="129"/>
      <c r="F10" s="129"/>
      <c r="G10" s="129"/>
      <c r="H10" s="129"/>
      <c r="I10" s="129"/>
      <c r="J10"/>
      <c r="K10"/>
    </row>
    <row r="11" spans="3:11" ht="17.45" customHeight="1" x14ac:dyDescent="0.3">
      <c r="C11" s="129" t="s">
        <v>173</v>
      </c>
      <c r="D11" s="129"/>
      <c r="E11" s="129"/>
      <c r="F11" s="129"/>
      <c r="G11" s="129"/>
      <c r="H11" s="129"/>
      <c r="I11" s="129"/>
      <c r="J11"/>
      <c r="K11"/>
    </row>
    <row r="12" spans="3:11" ht="15" customHeight="1" x14ac:dyDescent="0.25">
      <c r="E12" s="14"/>
      <c r="F12" s="14"/>
      <c r="G12" s="14"/>
      <c r="H12" s="14"/>
      <c r="I12" s="14"/>
    </row>
    <row r="13" spans="3:11" ht="17.45" customHeight="1" x14ac:dyDescent="0.25">
      <c r="C13" s="3" t="s">
        <v>121</v>
      </c>
      <c r="D13" s="31" t="s">
        <v>166</v>
      </c>
      <c r="E13" s="1" t="s">
        <v>169</v>
      </c>
      <c r="F13" s="19" t="s">
        <v>167</v>
      </c>
      <c r="G13" s="20"/>
      <c r="H13" s="21"/>
      <c r="I13" s="21"/>
    </row>
    <row r="14" spans="3:11" ht="17.45" customHeight="1" x14ac:dyDescent="0.25">
      <c r="C14" s="3" t="s">
        <v>122</v>
      </c>
      <c r="D14" s="31" t="s">
        <v>166</v>
      </c>
      <c r="E14" s="3" t="s">
        <v>170</v>
      </c>
      <c r="F14" s="3" t="s">
        <v>168</v>
      </c>
      <c r="G14" s="3"/>
      <c r="H14" s="3"/>
      <c r="I14" s="3"/>
    </row>
    <row r="15" spans="3:11" ht="17.45" customHeight="1" x14ac:dyDescent="0.25">
      <c r="C15" s="3" t="s">
        <v>123</v>
      </c>
      <c r="D15" s="31" t="s">
        <v>166</v>
      </c>
      <c r="E15" s="3" t="s">
        <v>169</v>
      </c>
      <c r="F15" s="3" t="s">
        <v>119</v>
      </c>
      <c r="G15" s="3"/>
      <c r="H15" s="3"/>
      <c r="I15" s="3"/>
    </row>
    <row r="16" spans="3:11" ht="17.45" customHeight="1" x14ac:dyDescent="0.25">
      <c r="C16" s="3" t="s">
        <v>120</v>
      </c>
      <c r="D16" s="3"/>
      <c r="E16" s="3"/>
      <c r="F16" s="3"/>
      <c r="G16" s="3"/>
      <c r="H16" s="3"/>
      <c r="I16" s="3"/>
    </row>
    <row r="17" spans="2:9" ht="11.1" customHeight="1" thickBot="1" x14ac:dyDescent="0.3"/>
    <row r="18" spans="2:9" ht="45.75" customHeight="1" x14ac:dyDescent="0.25">
      <c r="B18" s="138" t="s">
        <v>18</v>
      </c>
      <c r="C18" s="134" t="s">
        <v>117</v>
      </c>
      <c r="D18" s="130" t="s">
        <v>118</v>
      </c>
      <c r="E18" s="131"/>
      <c r="F18" s="167" t="s">
        <v>180</v>
      </c>
      <c r="G18" s="167" t="s">
        <v>178</v>
      </c>
      <c r="H18" s="167" t="s">
        <v>179</v>
      </c>
      <c r="I18" s="168" t="s">
        <v>61</v>
      </c>
    </row>
    <row r="19" spans="2:9" ht="21" customHeight="1" thickBot="1" x14ac:dyDescent="0.3">
      <c r="B19" s="139"/>
      <c r="C19" s="135"/>
      <c r="D19" s="132"/>
      <c r="E19" s="133"/>
      <c r="F19" s="169" t="s">
        <v>177</v>
      </c>
      <c r="G19" s="169" t="s">
        <v>176</v>
      </c>
      <c r="H19" s="169" t="s">
        <v>175</v>
      </c>
      <c r="I19" s="170"/>
    </row>
    <row r="20" spans="2:9" ht="15.6" customHeight="1" x14ac:dyDescent="0.25">
      <c r="B20" s="156" t="s">
        <v>67</v>
      </c>
      <c r="C20" s="153" t="s">
        <v>124</v>
      </c>
      <c r="D20" s="159" t="s">
        <v>126</v>
      </c>
      <c r="E20" s="159"/>
      <c r="F20" s="69"/>
      <c r="G20" s="69"/>
      <c r="H20" s="69"/>
      <c r="I20" s="54"/>
    </row>
    <row r="21" spans="2:9" ht="78.75" customHeight="1" x14ac:dyDescent="0.25">
      <c r="B21" s="157"/>
      <c r="C21" s="154"/>
      <c r="D21" s="24" t="s">
        <v>33</v>
      </c>
      <c r="E21" s="25" t="s">
        <v>73</v>
      </c>
      <c r="F21" s="12"/>
      <c r="G21" s="12"/>
      <c r="H21" s="12"/>
      <c r="I21" s="36"/>
    </row>
    <row r="22" spans="2:9" ht="45" x14ac:dyDescent="0.25">
      <c r="B22" s="157"/>
      <c r="C22" s="154"/>
      <c r="D22" s="24" t="s">
        <v>34</v>
      </c>
      <c r="E22" s="25" t="s">
        <v>74</v>
      </c>
      <c r="F22" s="12"/>
      <c r="G22" s="12"/>
      <c r="H22" s="12"/>
      <c r="I22" s="36"/>
    </row>
    <row r="23" spans="2:9" ht="45" x14ac:dyDescent="0.25">
      <c r="B23" s="157"/>
      <c r="C23" s="154"/>
      <c r="D23" s="24" t="s">
        <v>36</v>
      </c>
      <c r="E23" s="25" t="s">
        <v>75</v>
      </c>
      <c r="F23" s="17"/>
      <c r="G23" s="17"/>
      <c r="H23" s="17"/>
      <c r="I23" s="59"/>
    </row>
    <row r="24" spans="2:9" x14ac:dyDescent="0.25">
      <c r="B24" s="157"/>
      <c r="C24" s="154"/>
      <c r="D24" s="160" t="s">
        <v>130</v>
      </c>
      <c r="E24" s="160"/>
      <c r="F24" s="56"/>
      <c r="G24" s="56"/>
      <c r="H24" s="56"/>
      <c r="I24" s="57"/>
    </row>
    <row r="25" spans="2:9" ht="65.25" customHeight="1" x14ac:dyDescent="0.25">
      <c r="B25" s="157"/>
      <c r="C25" s="154"/>
      <c r="D25" s="24" t="s">
        <v>38</v>
      </c>
      <c r="E25" s="25" t="s">
        <v>76</v>
      </c>
      <c r="F25" s="12"/>
      <c r="G25" s="12"/>
      <c r="H25" s="12"/>
      <c r="I25" s="36"/>
    </row>
    <row r="26" spans="2:9" ht="45" x14ac:dyDescent="0.25">
      <c r="B26" s="157"/>
      <c r="C26" s="154"/>
      <c r="D26" s="24" t="s">
        <v>40</v>
      </c>
      <c r="E26" s="26" t="s">
        <v>77</v>
      </c>
      <c r="F26" s="12"/>
      <c r="G26" s="12"/>
      <c r="H26" s="12"/>
      <c r="I26" s="36"/>
    </row>
    <row r="27" spans="2:9" ht="45" x14ac:dyDescent="0.25">
      <c r="B27" s="157"/>
      <c r="C27" s="154"/>
      <c r="D27" s="24" t="s">
        <v>41</v>
      </c>
      <c r="E27" s="25" t="s">
        <v>78</v>
      </c>
      <c r="F27" s="12"/>
      <c r="G27" s="12"/>
      <c r="H27" s="12"/>
      <c r="I27" s="36"/>
    </row>
    <row r="28" spans="2:9" ht="30" x14ac:dyDescent="0.25">
      <c r="B28" s="157"/>
      <c r="C28" s="154"/>
      <c r="D28" s="24" t="s">
        <v>43</v>
      </c>
      <c r="E28" s="25" t="s">
        <v>79</v>
      </c>
      <c r="F28" s="12"/>
      <c r="G28" s="12"/>
      <c r="H28" s="12"/>
      <c r="I28" s="36"/>
    </row>
    <row r="29" spans="2:9" ht="51" customHeight="1" x14ac:dyDescent="0.25">
      <c r="B29" s="157"/>
      <c r="C29" s="154"/>
      <c r="D29" s="24" t="s">
        <v>45</v>
      </c>
      <c r="E29" s="25" t="s">
        <v>80</v>
      </c>
      <c r="F29" s="12"/>
      <c r="G29" s="12"/>
      <c r="H29" s="12"/>
      <c r="I29" s="36"/>
    </row>
    <row r="30" spans="2:9" ht="49.5" customHeight="1" x14ac:dyDescent="0.25">
      <c r="B30" s="157"/>
      <c r="C30" s="154"/>
      <c r="D30" s="24" t="s">
        <v>47</v>
      </c>
      <c r="E30" s="71" t="s">
        <v>225</v>
      </c>
      <c r="F30" s="12"/>
      <c r="G30" s="12"/>
      <c r="H30" s="12"/>
      <c r="I30" s="36"/>
    </row>
    <row r="31" spans="2:9" ht="50.25" customHeight="1" x14ac:dyDescent="0.25">
      <c r="B31" s="157"/>
      <c r="C31" s="154"/>
      <c r="D31" s="24" t="s">
        <v>49</v>
      </c>
      <c r="E31" s="72" t="s">
        <v>226</v>
      </c>
      <c r="F31" s="12"/>
      <c r="G31" s="12"/>
      <c r="H31" s="12"/>
      <c r="I31" s="36"/>
    </row>
    <row r="32" spans="2:9" x14ac:dyDescent="0.25">
      <c r="B32" s="157"/>
      <c r="C32" s="154"/>
      <c r="D32" s="161" t="s">
        <v>131</v>
      </c>
      <c r="E32" s="161"/>
      <c r="F32" s="56"/>
      <c r="G32" s="56"/>
      <c r="H32" s="56"/>
      <c r="I32" s="57"/>
    </row>
    <row r="33" spans="2:9" ht="33.75" customHeight="1" x14ac:dyDescent="0.25">
      <c r="B33" s="157"/>
      <c r="C33" s="154"/>
      <c r="D33" s="27" t="s">
        <v>51</v>
      </c>
      <c r="E33" s="28" t="s">
        <v>81</v>
      </c>
      <c r="F33" s="12"/>
      <c r="G33" s="12"/>
      <c r="H33" s="12"/>
      <c r="I33" s="36"/>
    </row>
    <row r="34" spans="2:9" ht="46.5" customHeight="1" x14ac:dyDescent="0.25">
      <c r="B34" s="157"/>
      <c r="C34" s="154"/>
      <c r="D34" s="27" t="s">
        <v>82</v>
      </c>
      <c r="E34" s="28" t="s">
        <v>127</v>
      </c>
      <c r="F34" s="12"/>
      <c r="G34" s="12"/>
      <c r="H34" s="12"/>
      <c r="I34" s="36"/>
    </row>
    <row r="35" spans="2:9" ht="64.5" customHeight="1" x14ac:dyDescent="0.25">
      <c r="B35" s="157"/>
      <c r="C35" s="154"/>
      <c r="D35" s="24" t="s">
        <v>83</v>
      </c>
      <c r="E35" s="22" t="s">
        <v>84</v>
      </c>
      <c r="F35" s="12"/>
      <c r="G35" s="12"/>
      <c r="H35" s="12"/>
      <c r="I35" s="36"/>
    </row>
    <row r="36" spans="2:9" ht="77.25" customHeight="1" x14ac:dyDescent="0.25">
      <c r="B36" s="158"/>
      <c r="C36" s="155"/>
      <c r="D36" s="24" t="s">
        <v>85</v>
      </c>
      <c r="E36" s="28" t="s">
        <v>86</v>
      </c>
      <c r="F36" s="12"/>
      <c r="G36" s="12"/>
      <c r="H36" s="12"/>
      <c r="I36" s="36"/>
    </row>
    <row r="37" spans="2:9" x14ac:dyDescent="0.25">
      <c r="B37" s="149" t="s">
        <v>125</v>
      </c>
      <c r="C37" s="151" t="s">
        <v>128</v>
      </c>
      <c r="D37" s="162" t="s">
        <v>132</v>
      </c>
      <c r="E37" s="162"/>
      <c r="F37" s="56"/>
      <c r="G37" s="56"/>
      <c r="H37" s="56"/>
      <c r="I37" s="57"/>
    </row>
    <row r="38" spans="2:9" x14ac:dyDescent="0.25">
      <c r="B38" s="149"/>
      <c r="C38" s="151"/>
      <c r="D38" s="68"/>
      <c r="E38" s="66" t="s">
        <v>133</v>
      </c>
      <c r="F38" s="56"/>
      <c r="G38" s="56"/>
      <c r="H38" s="56"/>
      <c r="I38" s="57"/>
    </row>
    <row r="39" spans="2:9" ht="32.25" customHeight="1" x14ac:dyDescent="0.25">
      <c r="B39" s="149"/>
      <c r="C39" s="151"/>
      <c r="D39" s="29" t="s">
        <v>134</v>
      </c>
      <c r="E39" s="23" t="s">
        <v>87</v>
      </c>
      <c r="F39" s="12"/>
      <c r="G39" s="12"/>
      <c r="H39" s="12"/>
      <c r="I39" s="36"/>
    </row>
    <row r="40" spans="2:9" ht="30" x14ac:dyDescent="0.25">
      <c r="B40" s="149"/>
      <c r="C40" s="151"/>
      <c r="D40" s="29" t="s">
        <v>135</v>
      </c>
      <c r="E40" s="23" t="s">
        <v>88</v>
      </c>
      <c r="F40" s="12"/>
      <c r="G40" s="12"/>
      <c r="H40" s="12"/>
      <c r="I40" s="36"/>
    </row>
    <row r="41" spans="2:9" ht="49.5" customHeight="1" x14ac:dyDescent="0.25">
      <c r="B41" s="149"/>
      <c r="C41" s="151"/>
      <c r="D41" s="29" t="s">
        <v>136</v>
      </c>
      <c r="E41" s="23" t="s">
        <v>89</v>
      </c>
      <c r="F41" s="12"/>
      <c r="G41" s="12"/>
      <c r="H41" s="12"/>
      <c r="I41" s="36"/>
    </row>
    <row r="42" spans="2:9" x14ac:dyDescent="0.25">
      <c r="B42" s="149"/>
      <c r="C42" s="151"/>
      <c r="D42" s="65"/>
      <c r="E42" s="66" t="s">
        <v>140</v>
      </c>
      <c r="F42" s="56"/>
      <c r="G42" s="56"/>
      <c r="H42" s="56"/>
      <c r="I42" s="57"/>
    </row>
    <row r="43" spans="2:9" ht="46.5" customHeight="1" x14ac:dyDescent="0.25">
      <c r="B43" s="149"/>
      <c r="C43" s="151"/>
      <c r="D43" s="29" t="s">
        <v>137</v>
      </c>
      <c r="E43" s="23" t="s">
        <v>90</v>
      </c>
      <c r="F43" s="12"/>
      <c r="G43" s="12"/>
      <c r="H43" s="12"/>
      <c r="I43" s="36"/>
    </row>
    <row r="44" spans="2:9" ht="30" x14ac:dyDescent="0.25">
      <c r="B44" s="149"/>
      <c r="C44" s="151"/>
      <c r="D44" s="29" t="s">
        <v>138</v>
      </c>
      <c r="E44" s="23" t="s">
        <v>91</v>
      </c>
      <c r="F44" s="12"/>
      <c r="G44" s="12"/>
      <c r="H44" s="12"/>
      <c r="I44" s="36"/>
    </row>
    <row r="45" spans="2:9" ht="45" x14ac:dyDescent="0.25">
      <c r="B45" s="149"/>
      <c r="C45" s="151"/>
      <c r="D45" s="29" t="s">
        <v>139</v>
      </c>
      <c r="E45" s="23" t="s">
        <v>92</v>
      </c>
      <c r="F45" s="12"/>
      <c r="G45" s="12"/>
      <c r="H45" s="12"/>
      <c r="I45" s="36"/>
    </row>
    <row r="46" spans="2:9" x14ac:dyDescent="0.25">
      <c r="B46" s="149"/>
      <c r="C46" s="151"/>
      <c r="D46" s="65"/>
      <c r="E46" s="66" t="s">
        <v>141</v>
      </c>
      <c r="F46" s="56"/>
      <c r="G46" s="56"/>
      <c r="H46" s="56"/>
      <c r="I46" s="57"/>
    </row>
    <row r="47" spans="2:9" ht="30" x14ac:dyDescent="0.25">
      <c r="B47" s="149"/>
      <c r="C47" s="151"/>
      <c r="D47" s="29" t="s">
        <v>142</v>
      </c>
      <c r="E47" s="23" t="s">
        <v>93</v>
      </c>
      <c r="F47" s="12"/>
      <c r="G47" s="12"/>
      <c r="H47" s="12"/>
      <c r="I47" s="36"/>
    </row>
    <row r="48" spans="2:9" x14ac:dyDescent="0.25">
      <c r="B48" s="149"/>
      <c r="C48" s="151"/>
      <c r="D48" s="163" t="s">
        <v>143</v>
      </c>
      <c r="E48" s="163"/>
      <c r="F48" s="56"/>
      <c r="G48" s="56"/>
      <c r="H48" s="56"/>
      <c r="I48" s="57"/>
    </row>
    <row r="49" spans="2:9" x14ac:dyDescent="0.25">
      <c r="B49" s="149"/>
      <c r="C49" s="151"/>
      <c r="D49" s="68"/>
      <c r="E49" s="67" t="s">
        <v>144</v>
      </c>
      <c r="F49" s="56"/>
      <c r="G49" s="56"/>
      <c r="H49" s="56"/>
      <c r="I49" s="57"/>
    </row>
    <row r="50" spans="2:9" ht="30" x14ac:dyDescent="0.25">
      <c r="B50" s="149"/>
      <c r="C50" s="151"/>
      <c r="D50" s="29" t="s">
        <v>145</v>
      </c>
      <c r="E50" s="23" t="s">
        <v>94</v>
      </c>
      <c r="F50" s="12"/>
      <c r="G50" s="12"/>
      <c r="H50" s="12"/>
      <c r="I50" s="36"/>
    </row>
    <row r="51" spans="2:9" ht="45" x14ac:dyDescent="0.25">
      <c r="B51" s="149"/>
      <c r="C51" s="151"/>
      <c r="D51" s="29" t="s">
        <v>146</v>
      </c>
      <c r="E51" s="23" t="s">
        <v>95</v>
      </c>
      <c r="F51" s="12"/>
      <c r="G51" s="12"/>
      <c r="H51" s="12"/>
      <c r="I51" s="36"/>
    </row>
    <row r="52" spans="2:9" ht="45" x14ac:dyDescent="0.25">
      <c r="B52" s="149"/>
      <c r="C52" s="151"/>
      <c r="D52" s="29" t="s">
        <v>147</v>
      </c>
      <c r="E52" s="23" t="s">
        <v>96</v>
      </c>
      <c r="F52" s="12"/>
      <c r="G52" s="12"/>
      <c r="H52" s="12"/>
      <c r="I52" s="36"/>
    </row>
    <row r="53" spans="2:9" ht="30" x14ac:dyDescent="0.25">
      <c r="B53" s="149"/>
      <c r="C53" s="151"/>
      <c r="D53" s="29" t="s">
        <v>148</v>
      </c>
      <c r="E53" s="23" t="s">
        <v>97</v>
      </c>
      <c r="F53" s="12"/>
      <c r="G53" s="12"/>
      <c r="H53" s="12"/>
      <c r="I53" s="36"/>
    </row>
    <row r="54" spans="2:9" ht="64.5" customHeight="1" x14ac:dyDescent="0.25">
      <c r="B54" s="149"/>
      <c r="C54" s="151"/>
      <c r="D54" s="29" t="s">
        <v>149</v>
      </c>
      <c r="E54" s="23" t="s">
        <v>98</v>
      </c>
      <c r="F54" s="12"/>
      <c r="G54" s="12"/>
      <c r="H54" s="12"/>
      <c r="I54" s="36"/>
    </row>
    <row r="55" spans="2:9" ht="60" x14ac:dyDescent="0.25">
      <c r="B55" s="149"/>
      <c r="C55" s="151"/>
      <c r="D55" s="29" t="s">
        <v>150</v>
      </c>
      <c r="E55" s="23" t="s">
        <v>99</v>
      </c>
      <c r="F55" s="12"/>
      <c r="G55" s="12"/>
      <c r="H55" s="12"/>
      <c r="I55" s="36"/>
    </row>
    <row r="56" spans="2:9" ht="75" x14ac:dyDescent="0.25">
      <c r="B56" s="149"/>
      <c r="C56" s="151"/>
      <c r="D56" s="29" t="s">
        <v>151</v>
      </c>
      <c r="E56" s="23" t="s">
        <v>100</v>
      </c>
      <c r="F56" s="12"/>
      <c r="G56" s="12"/>
      <c r="H56" s="12"/>
      <c r="I56" s="36"/>
    </row>
    <row r="57" spans="2:9" ht="30" customHeight="1" x14ac:dyDescent="0.25">
      <c r="B57" s="149"/>
      <c r="C57" s="151"/>
      <c r="D57" s="29" t="s">
        <v>152</v>
      </c>
      <c r="E57" s="23" t="s">
        <v>101</v>
      </c>
      <c r="F57" s="12"/>
      <c r="G57" s="12"/>
      <c r="H57" s="12"/>
      <c r="I57" s="36"/>
    </row>
    <row r="58" spans="2:9" ht="30" x14ac:dyDescent="0.25">
      <c r="B58" s="149"/>
      <c r="C58" s="151"/>
      <c r="D58" s="29" t="s">
        <v>153</v>
      </c>
      <c r="E58" s="23" t="s">
        <v>102</v>
      </c>
      <c r="F58" s="12"/>
      <c r="G58" s="12"/>
      <c r="H58" s="12"/>
      <c r="I58" s="36"/>
    </row>
    <row r="59" spans="2:9" ht="51" customHeight="1" x14ac:dyDescent="0.25">
      <c r="B59" s="149"/>
      <c r="C59" s="151"/>
      <c r="D59" s="29" t="s">
        <v>154</v>
      </c>
      <c r="E59" s="23" t="s">
        <v>103</v>
      </c>
      <c r="F59" s="12"/>
      <c r="G59" s="12"/>
      <c r="H59" s="12"/>
      <c r="I59" s="36"/>
    </row>
    <row r="60" spans="2:9" x14ac:dyDescent="0.25">
      <c r="B60" s="149"/>
      <c r="C60" s="151"/>
      <c r="D60" s="65"/>
      <c r="E60" s="67" t="s">
        <v>155</v>
      </c>
      <c r="F60" s="56"/>
      <c r="G60" s="56"/>
      <c r="H60" s="56"/>
      <c r="I60" s="57"/>
    </row>
    <row r="61" spans="2:9" ht="47.25" customHeight="1" x14ac:dyDescent="0.25">
      <c r="B61" s="149"/>
      <c r="C61" s="151"/>
      <c r="D61" s="29" t="s">
        <v>157</v>
      </c>
      <c r="E61" s="23" t="s">
        <v>104</v>
      </c>
      <c r="F61" s="12"/>
      <c r="G61" s="12"/>
      <c r="H61" s="12"/>
      <c r="I61" s="36"/>
    </row>
    <row r="62" spans="2:9" ht="46.5" customHeight="1" x14ac:dyDescent="0.25">
      <c r="B62" s="149"/>
      <c r="C62" s="151"/>
      <c r="D62" s="29" t="s">
        <v>158</v>
      </c>
      <c r="E62" s="23" t="s">
        <v>105</v>
      </c>
      <c r="F62" s="12"/>
      <c r="G62" s="12"/>
      <c r="H62" s="12"/>
      <c r="I62" s="36"/>
    </row>
    <row r="63" spans="2:9" x14ac:dyDescent="0.25">
      <c r="B63" s="149"/>
      <c r="C63" s="151"/>
      <c r="D63" s="65"/>
      <c r="E63" s="66" t="s">
        <v>156</v>
      </c>
      <c r="F63" s="56"/>
      <c r="G63" s="56"/>
      <c r="H63" s="56"/>
      <c r="I63" s="57"/>
    </row>
    <row r="64" spans="2:9" ht="45" x14ac:dyDescent="0.25">
      <c r="B64" s="149"/>
      <c r="C64" s="151"/>
      <c r="D64" s="29" t="s">
        <v>159</v>
      </c>
      <c r="E64" s="23" t="s">
        <v>106</v>
      </c>
      <c r="F64" s="12"/>
      <c r="G64" s="12"/>
      <c r="H64" s="12"/>
      <c r="I64" s="36"/>
    </row>
    <row r="65" spans="2:9" ht="62.25" customHeight="1" x14ac:dyDescent="0.25">
      <c r="B65" s="149"/>
      <c r="C65" s="151"/>
      <c r="D65" s="29" t="s">
        <v>160</v>
      </c>
      <c r="E65" s="23" t="s">
        <v>107</v>
      </c>
      <c r="F65" s="12"/>
      <c r="G65" s="12"/>
      <c r="H65" s="12"/>
      <c r="I65" s="36"/>
    </row>
    <row r="66" spans="2:9" x14ac:dyDescent="0.25">
      <c r="B66" s="149"/>
      <c r="C66" s="151"/>
      <c r="D66" s="162" t="s">
        <v>161</v>
      </c>
      <c r="E66" s="162"/>
      <c r="F66" s="56"/>
      <c r="G66" s="56"/>
      <c r="H66" s="56"/>
      <c r="I66" s="57"/>
    </row>
    <row r="67" spans="2:9" x14ac:dyDescent="0.25">
      <c r="B67" s="149"/>
      <c r="C67" s="151"/>
      <c r="D67" s="65"/>
      <c r="E67" s="66" t="s">
        <v>162</v>
      </c>
      <c r="F67" s="56"/>
      <c r="G67" s="56"/>
      <c r="H67" s="56"/>
      <c r="I67" s="57"/>
    </row>
    <row r="68" spans="2:9" ht="45" x14ac:dyDescent="0.25">
      <c r="B68" s="149"/>
      <c r="C68" s="151"/>
      <c r="D68" s="29" t="s">
        <v>134</v>
      </c>
      <c r="E68" s="23" t="s">
        <v>108</v>
      </c>
      <c r="F68" s="17"/>
      <c r="G68" s="17"/>
      <c r="H68" s="17"/>
      <c r="I68" s="59"/>
    </row>
    <row r="69" spans="2:9" ht="66" customHeight="1" x14ac:dyDescent="0.25">
      <c r="B69" s="149"/>
      <c r="C69" s="151"/>
      <c r="D69" s="29" t="s">
        <v>135</v>
      </c>
      <c r="E69" s="23" t="s">
        <v>109</v>
      </c>
      <c r="F69" s="12"/>
      <c r="G69" s="12"/>
      <c r="H69" s="12"/>
      <c r="I69" s="36"/>
    </row>
    <row r="70" spans="2:9" x14ac:dyDescent="0.25">
      <c r="B70" s="149"/>
      <c r="C70" s="151"/>
      <c r="D70" s="65"/>
      <c r="E70" s="66" t="s">
        <v>165</v>
      </c>
      <c r="F70" s="56"/>
      <c r="G70" s="56"/>
      <c r="H70" s="56"/>
      <c r="I70" s="57"/>
    </row>
    <row r="71" spans="2:9" ht="30" x14ac:dyDescent="0.25">
      <c r="B71" s="149"/>
      <c r="C71" s="151"/>
      <c r="D71" s="29" t="s">
        <v>136</v>
      </c>
      <c r="E71" s="23" t="s">
        <v>110</v>
      </c>
      <c r="F71" s="12"/>
      <c r="G71" s="12"/>
      <c r="H71" s="12"/>
      <c r="I71" s="36"/>
    </row>
    <row r="72" spans="2:9" ht="50.25" customHeight="1" x14ac:dyDescent="0.25">
      <c r="B72" s="149"/>
      <c r="C72" s="151"/>
      <c r="D72" s="29" t="s">
        <v>137</v>
      </c>
      <c r="E72" s="23" t="s">
        <v>129</v>
      </c>
      <c r="F72" s="30"/>
      <c r="G72" s="30"/>
      <c r="H72" s="30"/>
      <c r="I72" s="59"/>
    </row>
    <row r="73" spans="2:9" x14ac:dyDescent="0.25">
      <c r="B73" s="149"/>
      <c r="C73" s="151"/>
      <c r="D73" s="65"/>
      <c r="E73" s="66" t="s">
        <v>164</v>
      </c>
      <c r="F73" s="70"/>
      <c r="G73" s="70"/>
      <c r="H73" s="70"/>
      <c r="I73" s="57"/>
    </row>
    <row r="74" spans="2:9" ht="47.25" customHeight="1" x14ac:dyDescent="0.25">
      <c r="B74" s="149"/>
      <c r="C74" s="151"/>
      <c r="D74" s="29" t="s">
        <v>138</v>
      </c>
      <c r="E74" s="23" t="s">
        <v>111</v>
      </c>
      <c r="F74" s="12"/>
      <c r="G74" s="12"/>
      <c r="H74" s="12"/>
      <c r="I74" s="36"/>
    </row>
    <row r="75" spans="2:9" ht="30" x14ac:dyDescent="0.25">
      <c r="B75" s="149"/>
      <c r="C75" s="151"/>
      <c r="D75" s="29" t="s">
        <v>139</v>
      </c>
      <c r="E75" s="23" t="s">
        <v>112</v>
      </c>
      <c r="F75" s="12"/>
      <c r="G75" s="12"/>
      <c r="H75" s="12"/>
      <c r="I75" s="36"/>
    </row>
    <row r="76" spans="2:9" ht="30" x14ac:dyDescent="0.25">
      <c r="B76" s="149"/>
      <c r="C76" s="151"/>
      <c r="D76" s="29" t="s">
        <v>142</v>
      </c>
      <c r="E76" s="23" t="s">
        <v>113</v>
      </c>
      <c r="F76" s="12"/>
      <c r="G76" s="12"/>
      <c r="H76" s="12"/>
      <c r="I76" s="36"/>
    </row>
    <row r="77" spans="2:9" ht="60" x14ac:dyDescent="0.25">
      <c r="B77" s="149"/>
      <c r="C77" s="151"/>
      <c r="D77" s="29" t="s">
        <v>145</v>
      </c>
      <c r="E77" s="23" t="s">
        <v>114</v>
      </c>
      <c r="F77" s="12"/>
      <c r="G77" s="12"/>
      <c r="H77" s="12"/>
      <c r="I77" s="36"/>
    </row>
    <row r="78" spans="2:9" x14ac:dyDescent="0.25">
      <c r="B78" s="149"/>
      <c r="C78" s="151"/>
      <c r="D78" s="65"/>
      <c r="E78" s="66" t="s">
        <v>163</v>
      </c>
      <c r="F78" s="56"/>
      <c r="G78" s="56"/>
      <c r="H78" s="56"/>
      <c r="I78" s="57"/>
    </row>
    <row r="79" spans="2:9" ht="46.5" customHeight="1" x14ac:dyDescent="0.25">
      <c r="B79" s="149"/>
      <c r="C79" s="151"/>
      <c r="D79" s="29" t="s">
        <v>160</v>
      </c>
      <c r="E79" s="23" t="s">
        <v>115</v>
      </c>
      <c r="F79" s="12"/>
      <c r="G79" s="12"/>
      <c r="H79" s="12"/>
      <c r="I79" s="36"/>
    </row>
    <row r="80" spans="2:9" ht="35.25" customHeight="1" thickBot="1" x14ac:dyDescent="0.3">
      <c r="B80" s="150"/>
      <c r="C80" s="152"/>
      <c r="D80" s="61" t="s">
        <v>147</v>
      </c>
      <c r="E80" s="62" t="s">
        <v>116</v>
      </c>
      <c r="F80" s="18"/>
      <c r="G80" s="18"/>
      <c r="H80" s="18"/>
      <c r="I80" s="40"/>
    </row>
    <row r="81" spans="2:9" ht="29.1" customHeight="1" x14ac:dyDescent="0.25">
      <c r="B81" s="140" t="s">
        <v>54</v>
      </c>
      <c r="C81" s="141"/>
      <c r="D81" s="141"/>
      <c r="E81" s="142"/>
      <c r="F81" s="63">
        <f>SUM(F21:F80)</f>
        <v>0</v>
      </c>
      <c r="G81" s="63">
        <f t="shared" ref="G81:H81" si="0">SUM(G21:G80)</f>
        <v>0</v>
      </c>
      <c r="H81" s="63">
        <f t="shared" si="0"/>
        <v>0</v>
      </c>
      <c r="I81" s="64"/>
    </row>
    <row r="82" spans="2:9" x14ac:dyDescent="0.25">
      <c r="B82" s="143" t="s">
        <v>70</v>
      </c>
      <c r="C82" s="144"/>
      <c r="D82" s="144"/>
      <c r="E82" s="145"/>
      <c r="F82" s="136">
        <f>F81+G81+H81</f>
        <v>0</v>
      </c>
      <c r="G82" s="136"/>
      <c r="H82" s="136"/>
      <c r="I82" s="60"/>
    </row>
    <row r="83" spans="2:9" ht="22.5" customHeight="1" thickBot="1" x14ac:dyDescent="0.3">
      <c r="B83" s="146" t="s">
        <v>56</v>
      </c>
      <c r="C83" s="147"/>
      <c r="D83" s="147"/>
      <c r="E83" s="148"/>
      <c r="F83" s="137">
        <f>SUM(F82/90)*100</f>
        <v>0</v>
      </c>
      <c r="G83" s="137"/>
      <c r="H83" s="137"/>
      <c r="I83" s="171" t="str">
        <f>IF(F83&gt;90,"SANGAT BAIK/SB",IF(F83&gt;75,"BAIK/B",IF(F83&gt;59,"CUKUP/C",IF(F83&lt;60,"KURANG/K"))))</f>
        <v>KURANG/K</v>
      </c>
    </row>
    <row r="84" spans="2:9" ht="5.25" customHeight="1" x14ac:dyDescent="0.25"/>
    <row r="95" spans="2:9" x14ac:dyDescent="0.25">
      <c r="F95" s="7" t="s">
        <v>269</v>
      </c>
    </row>
    <row r="96" spans="2:9" x14ac:dyDescent="0.25">
      <c r="E96" s="7" t="s">
        <v>22</v>
      </c>
      <c r="F96" s="7" t="s">
        <v>23</v>
      </c>
    </row>
    <row r="100" spans="5:9" x14ac:dyDescent="0.25">
      <c r="E100" s="16" t="s">
        <v>267</v>
      </c>
      <c r="F100" s="16" t="s">
        <v>24</v>
      </c>
    </row>
    <row r="101" spans="5:9" x14ac:dyDescent="0.25">
      <c r="E101" s="7" t="s">
        <v>268</v>
      </c>
      <c r="F101" s="7" t="s">
        <v>25</v>
      </c>
    </row>
    <row r="102" spans="5:9" x14ac:dyDescent="0.25">
      <c r="E102" s="90" t="s">
        <v>181</v>
      </c>
      <c r="F102" s="90"/>
      <c r="G102" s="90"/>
      <c r="H102" s="90"/>
      <c r="I102" s="90"/>
    </row>
    <row r="103" spans="5:9" x14ac:dyDescent="0.25">
      <c r="E103" s="90" t="s">
        <v>185</v>
      </c>
      <c r="F103" s="90"/>
      <c r="G103" s="90"/>
      <c r="H103" s="90"/>
      <c r="I103" s="90"/>
    </row>
    <row r="106" spans="5:9" x14ac:dyDescent="0.25">
      <c r="E106" s="91" t="s">
        <v>182</v>
      </c>
      <c r="F106" s="91"/>
      <c r="G106" s="91"/>
      <c r="H106" s="91"/>
      <c r="I106" s="91"/>
    </row>
    <row r="107" spans="5:9" x14ac:dyDescent="0.25">
      <c r="E107" s="90" t="s">
        <v>183</v>
      </c>
      <c r="F107" s="90"/>
      <c r="G107" s="90"/>
      <c r="H107" s="90"/>
      <c r="I107" s="90"/>
    </row>
  </sheetData>
  <mergeCells count="26">
    <mergeCell ref="B18:B19"/>
    <mergeCell ref="I18:I19"/>
    <mergeCell ref="B81:E81"/>
    <mergeCell ref="B82:E82"/>
    <mergeCell ref="B83:E83"/>
    <mergeCell ref="B37:B80"/>
    <mergeCell ref="C37:C80"/>
    <mergeCell ref="C20:C36"/>
    <mergeCell ref="B20:B36"/>
    <mergeCell ref="D20:E20"/>
    <mergeCell ref="D24:E24"/>
    <mergeCell ref="D32:E32"/>
    <mergeCell ref="D37:E37"/>
    <mergeCell ref="D48:E48"/>
    <mergeCell ref="D66:E66"/>
    <mergeCell ref="E107:I107"/>
    <mergeCell ref="F82:H82"/>
    <mergeCell ref="F83:H83"/>
    <mergeCell ref="E102:I102"/>
    <mergeCell ref="E103:I103"/>
    <mergeCell ref="E106:I106"/>
    <mergeCell ref="C9:I9"/>
    <mergeCell ref="C10:I10"/>
    <mergeCell ref="C11:I11"/>
    <mergeCell ref="D18:E19"/>
    <mergeCell ref="C18:C19"/>
  </mergeCells>
  <pageMargins left="0.51181102362204722" right="0.14000000000000001" top="0.46" bottom="0.55118110236220474" header="0.31496062992125984" footer="0.31496062992125984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A2F8-5E29-4C8B-9595-EC1CC2A0D389}">
  <dimension ref="A1:G14"/>
  <sheetViews>
    <sheetView workbookViewId="0">
      <selection activeCell="J9" sqref="J9"/>
    </sheetView>
  </sheetViews>
  <sheetFormatPr defaultRowHeight="14.25" x14ac:dyDescent="0.2"/>
  <cols>
    <col min="1" max="1" width="5.5703125" style="73" customWidth="1"/>
    <col min="2" max="2" width="23" style="73" customWidth="1"/>
    <col min="3" max="3" width="12.140625" style="73" customWidth="1"/>
    <col min="4" max="4" width="13.28515625" style="73" customWidth="1"/>
    <col min="5" max="5" width="14.7109375" style="73" customWidth="1"/>
    <col min="6" max="6" width="12.42578125" style="73" customWidth="1"/>
    <col min="7" max="7" width="14.7109375" style="73" customWidth="1"/>
    <col min="8" max="16384" width="9.140625" style="73"/>
  </cols>
  <sheetData>
    <row r="1" spans="1:7" ht="18" x14ac:dyDescent="0.25">
      <c r="A1" s="164" t="s">
        <v>227</v>
      </c>
      <c r="B1" s="164"/>
      <c r="C1" s="164"/>
      <c r="D1" s="164"/>
      <c r="E1" s="164"/>
      <c r="F1" s="164"/>
      <c r="G1" s="164"/>
    </row>
    <row r="3" spans="1:7" x14ac:dyDescent="0.2">
      <c r="A3" s="73" t="s">
        <v>3</v>
      </c>
      <c r="C3" s="73" t="s">
        <v>166</v>
      </c>
    </row>
    <row r="4" spans="1:7" x14ac:dyDescent="0.2">
      <c r="A4" s="73" t="s">
        <v>1</v>
      </c>
      <c r="C4" s="73" t="s">
        <v>166</v>
      </c>
    </row>
    <row r="5" spans="1:7" x14ac:dyDescent="0.2">
      <c r="A5" s="73" t="s">
        <v>228</v>
      </c>
      <c r="C5" s="73" t="s">
        <v>166</v>
      </c>
    </row>
    <row r="6" spans="1:7" x14ac:dyDescent="0.2">
      <c r="A6" s="73" t="s">
        <v>229</v>
      </c>
      <c r="C6" s="73" t="s">
        <v>166</v>
      </c>
    </row>
    <row r="7" spans="1:7" x14ac:dyDescent="0.2">
      <c r="A7" s="73" t="s">
        <v>230</v>
      </c>
      <c r="C7" s="73" t="s">
        <v>166</v>
      </c>
    </row>
    <row r="9" spans="1:7" ht="56.25" customHeight="1" x14ac:dyDescent="0.2">
      <c r="A9" s="75" t="s">
        <v>231</v>
      </c>
      <c r="B9" s="76" t="s">
        <v>234</v>
      </c>
      <c r="C9" s="75" t="s">
        <v>232</v>
      </c>
      <c r="D9" s="76" t="s">
        <v>233</v>
      </c>
      <c r="E9" s="76" t="s">
        <v>235</v>
      </c>
      <c r="F9" s="76" t="s">
        <v>236</v>
      </c>
      <c r="G9" s="76" t="s">
        <v>237</v>
      </c>
    </row>
    <row r="10" spans="1:7" x14ac:dyDescent="0.2">
      <c r="A10" s="74"/>
      <c r="B10" s="74"/>
      <c r="C10" s="74"/>
      <c r="D10" s="74"/>
      <c r="E10" s="74"/>
      <c r="F10" s="74"/>
      <c r="G10" s="74"/>
    </row>
    <row r="11" spans="1:7" x14ac:dyDescent="0.2">
      <c r="A11" s="74"/>
      <c r="B11" s="74"/>
      <c r="C11" s="74"/>
      <c r="D11" s="74"/>
      <c r="E11" s="74"/>
      <c r="F11" s="74"/>
      <c r="G11" s="74"/>
    </row>
    <row r="12" spans="1:7" x14ac:dyDescent="0.2">
      <c r="A12" s="74"/>
      <c r="B12" s="74"/>
      <c r="C12" s="74"/>
      <c r="D12" s="74"/>
      <c r="E12" s="74"/>
      <c r="F12" s="74"/>
      <c r="G12" s="74"/>
    </row>
    <row r="13" spans="1:7" x14ac:dyDescent="0.2">
      <c r="A13" s="74"/>
      <c r="B13" s="74"/>
      <c r="C13" s="74"/>
      <c r="D13" s="74"/>
      <c r="E13" s="74"/>
      <c r="F13" s="74"/>
      <c r="G13" s="74"/>
    </row>
    <row r="14" spans="1:7" x14ac:dyDescent="0.2">
      <c r="A14" s="74"/>
      <c r="B14" s="74"/>
      <c r="C14" s="74"/>
      <c r="D14" s="74"/>
      <c r="E14" s="74"/>
      <c r="F14" s="74"/>
      <c r="G14" s="74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0248-2FCC-466B-B1B1-F6821A930AAC}">
  <dimension ref="A1:G17"/>
  <sheetViews>
    <sheetView workbookViewId="0">
      <selection activeCell="H15" sqref="H15"/>
    </sheetView>
  </sheetViews>
  <sheetFormatPr defaultRowHeight="14.25" x14ac:dyDescent="0.2"/>
  <cols>
    <col min="1" max="1" width="6.28515625" style="73" customWidth="1"/>
    <col min="2" max="2" width="15" style="73" customWidth="1"/>
    <col min="3" max="4" width="17.7109375" style="73" customWidth="1"/>
    <col min="5" max="5" width="12" style="73" customWidth="1"/>
    <col min="6" max="6" width="13" style="73" customWidth="1"/>
    <col min="7" max="7" width="21" style="73" customWidth="1"/>
    <col min="8" max="16384" width="9.140625" style="73"/>
  </cols>
  <sheetData>
    <row r="1" spans="1:7" ht="18" x14ac:dyDescent="0.25">
      <c r="A1" s="77" t="s">
        <v>238</v>
      </c>
    </row>
    <row r="3" spans="1:7" ht="42.75" x14ac:dyDescent="0.2">
      <c r="A3" s="75" t="s">
        <v>239</v>
      </c>
      <c r="B3" s="76" t="s">
        <v>242</v>
      </c>
      <c r="C3" s="76" t="s">
        <v>241</v>
      </c>
      <c r="D3" s="76" t="s">
        <v>240</v>
      </c>
      <c r="E3" s="76" t="s">
        <v>243</v>
      </c>
      <c r="F3" s="76" t="s">
        <v>244</v>
      </c>
      <c r="G3" s="76" t="s">
        <v>245</v>
      </c>
    </row>
    <row r="4" spans="1:7" x14ac:dyDescent="0.2">
      <c r="A4" s="74"/>
      <c r="B4" s="74"/>
      <c r="C4" s="74"/>
      <c r="D4" s="74"/>
      <c r="E4" s="74"/>
      <c r="F4" s="74"/>
      <c r="G4" s="74"/>
    </row>
    <row r="5" spans="1:7" x14ac:dyDescent="0.2">
      <c r="A5" s="74"/>
      <c r="B5" s="74"/>
      <c r="C5" s="74"/>
      <c r="D5" s="74"/>
      <c r="E5" s="74"/>
      <c r="F5" s="74"/>
      <c r="G5" s="74"/>
    </row>
    <row r="6" spans="1:7" x14ac:dyDescent="0.2">
      <c r="A6" s="74"/>
      <c r="B6" s="74"/>
      <c r="C6" s="74"/>
      <c r="D6" s="74"/>
      <c r="E6" s="74"/>
      <c r="F6" s="74"/>
      <c r="G6" s="74"/>
    </row>
    <row r="7" spans="1:7" x14ac:dyDescent="0.2">
      <c r="A7" s="74"/>
      <c r="B7" s="74"/>
      <c r="C7" s="74"/>
      <c r="D7" s="74"/>
      <c r="E7" s="74"/>
      <c r="F7" s="74"/>
      <c r="G7" s="74"/>
    </row>
    <row r="8" spans="1:7" x14ac:dyDescent="0.2">
      <c r="A8" s="74"/>
      <c r="B8" s="74"/>
      <c r="C8" s="74"/>
      <c r="D8" s="74"/>
      <c r="E8" s="74"/>
      <c r="F8" s="74"/>
      <c r="G8" s="74"/>
    </row>
    <row r="10" spans="1:7" ht="15.75" x14ac:dyDescent="0.25">
      <c r="F10" s="78" t="s">
        <v>263</v>
      </c>
    </row>
    <row r="11" spans="1:7" ht="15.75" x14ac:dyDescent="0.25">
      <c r="F11" s="78"/>
    </row>
    <row r="12" spans="1:7" ht="15.75" x14ac:dyDescent="0.25">
      <c r="F12" s="78" t="s">
        <v>186</v>
      </c>
    </row>
    <row r="13" spans="1:7" ht="15.75" x14ac:dyDescent="0.25">
      <c r="F13" s="78"/>
    </row>
    <row r="14" spans="1:7" ht="15.75" x14ac:dyDescent="0.25">
      <c r="F14" s="78"/>
    </row>
    <row r="15" spans="1:7" ht="15.75" x14ac:dyDescent="0.25">
      <c r="F15" s="78"/>
    </row>
    <row r="16" spans="1:7" ht="15.75" x14ac:dyDescent="0.25">
      <c r="F16" s="78" t="s">
        <v>264</v>
      </c>
    </row>
    <row r="17" spans="6:6" ht="15.75" x14ac:dyDescent="0.25">
      <c r="F17" s="78" t="s">
        <v>265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93C8-DD58-4E36-ACD1-7252EB2A4ADA}">
  <dimension ref="A1:D12"/>
  <sheetViews>
    <sheetView workbookViewId="0">
      <selection activeCell="F17" sqref="F17"/>
    </sheetView>
  </sheetViews>
  <sheetFormatPr defaultRowHeight="15.75" x14ac:dyDescent="0.25"/>
  <cols>
    <col min="1" max="1" width="5.5703125" style="78" customWidth="1"/>
    <col min="2" max="2" width="22.28515625" style="78" customWidth="1"/>
    <col min="3" max="3" width="22.42578125" style="78" customWidth="1"/>
    <col min="4" max="4" width="24.7109375" style="78" customWidth="1"/>
    <col min="5" max="16384" width="9.140625" style="78"/>
  </cols>
  <sheetData>
    <row r="1" spans="1:4" ht="18" x14ac:dyDescent="0.25">
      <c r="A1" s="77" t="s">
        <v>246</v>
      </c>
    </row>
    <row r="3" spans="1:4" x14ac:dyDescent="0.25">
      <c r="A3" s="78" t="s">
        <v>3</v>
      </c>
      <c r="C3" s="78" t="s">
        <v>166</v>
      </c>
    </row>
    <row r="4" spans="1:4" x14ac:dyDescent="0.25">
      <c r="A4" s="78" t="s">
        <v>1</v>
      </c>
      <c r="C4" s="78" t="s">
        <v>166</v>
      </c>
    </row>
    <row r="5" spans="1:4" x14ac:dyDescent="0.25">
      <c r="A5" s="78" t="s">
        <v>228</v>
      </c>
      <c r="C5" s="78" t="s">
        <v>166</v>
      </c>
    </row>
    <row r="6" spans="1:4" x14ac:dyDescent="0.25">
      <c r="A6" s="78" t="s">
        <v>229</v>
      </c>
      <c r="C6" s="78" t="s">
        <v>166</v>
      </c>
    </row>
    <row r="7" spans="1:4" x14ac:dyDescent="0.25">
      <c r="A7" s="78" t="s">
        <v>230</v>
      </c>
      <c r="C7" s="78" t="s">
        <v>166</v>
      </c>
    </row>
    <row r="9" spans="1:4" s="80" customFormat="1" ht="24" customHeight="1" x14ac:dyDescent="0.25">
      <c r="A9" s="79" t="s">
        <v>239</v>
      </c>
      <c r="B9" s="79" t="s">
        <v>247</v>
      </c>
      <c r="C9" s="79" t="s">
        <v>248</v>
      </c>
      <c r="D9" s="79" t="s">
        <v>249</v>
      </c>
    </row>
    <row r="10" spans="1:4" ht="31.5" x14ac:dyDescent="0.25">
      <c r="A10" s="81">
        <v>1</v>
      </c>
      <c r="B10" s="82" t="s">
        <v>250</v>
      </c>
      <c r="C10" s="83"/>
      <c r="D10" s="83"/>
    </row>
    <row r="11" spans="1:4" x14ac:dyDescent="0.25">
      <c r="A11" s="81">
        <v>2</v>
      </c>
      <c r="B11" s="83" t="s">
        <v>251</v>
      </c>
      <c r="C11" s="83"/>
      <c r="D11" s="83"/>
    </row>
    <row r="12" spans="1:4" x14ac:dyDescent="0.25">
      <c r="A12" s="81">
        <v>3</v>
      </c>
      <c r="B12" s="83" t="s">
        <v>252</v>
      </c>
      <c r="C12" s="83"/>
      <c r="D12" s="8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572BC-7C2F-41DB-AABE-AC769CDD5A17}">
  <dimension ref="A1:J19"/>
  <sheetViews>
    <sheetView workbookViewId="0">
      <selection activeCell="D16" sqref="D16"/>
    </sheetView>
  </sheetViews>
  <sheetFormatPr defaultRowHeight="15.75" x14ac:dyDescent="0.25"/>
  <cols>
    <col min="1" max="1" width="5.140625" style="78" customWidth="1"/>
    <col min="2" max="2" width="19.28515625" style="78" customWidth="1"/>
    <col min="3" max="3" width="16.42578125" style="78" customWidth="1"/>
    <col min="4" max="4" width="15.28515625" style="78" customWidth="1"/>
    <col min="5" max="5" width="16.5703125" style="78" customWidth="1"/>
    <col min="6" max="8" width="9.140625" style="78"/>
    <col min="9" max="9" width="15.28515625" style="78" customWidth="1"/>
    <col min="10" max="10" width="19.85546875" style="78" customWidth="1"/>
    <col min="11" max="16384" width="9.140625" style="78"/>
  </cols>
  <sheetData>
    <row r="1" spans="1:10" ht="18" x14ac:dyDescent="0.25">
      <c r="A1" s="77" t="s">
        <v>253</v>
      </c>
    </row>
    <row r="3" spans="1:10" x14ac:dyDescent="0.25">
      <c r="A3" s="78" t="s">
        <v>254</v>
      </c>
      <c r="C3" s="78" t="s">
        <v>166</v>
      </c>
    </row>
    <row r="5" spans="1:10" ht="44.25" customHeight="1" x14ac:dyDescent="0.25">
      <c r="A5" s="165" t="s">
        <v>255</v>
      </c>
      <c r="B5" s="166" t="s">
        <v>256</v>
      </c>
      <c r="C5" s="165" t="s">
        <v>257</v>
      </c>
      <c r="D5" s="166" t="s">
        <v>258</v>
      </c>
      <c r="E5" s="166" t="s">
        <v>259</v>
      </c>
      <c r="F5" s="166" t="s">
        <v>260</v>
      </c>
      <c r="G5" s="166"/>
      <c r="H5" s="166"/>
      <c r="I5" s="166" t="s">
        <v>261</v>
      </c>
      <c r="J5" s="166" t="s">
        <v>262</v>
      </c>
    </row>
    <row r="6" spans="1:10" x14ac:dyDescent="0.25">
      <c r="A6" s="165"/>
      <c r="B6" s="166"/>
      <c r="C6" s="165"/>
      <c r="D6" s="166"/>
      <c r="E6" s="166"/>
      <c r="F6" s="79">
        <v>1</v>
      </c>
      <c r="G6" s="79">
        <v>2</v>
      </c>
      <c r="H6" s="79">
        <v>3</v>
      </c>
      <c r="I6" s="166"/>
      <c r="J6" s="166"/>
    </row>
    <row r="7" spans="1:10" x14ac:dyDescent="0.25">
      <c r="A7" s="84"/>
      <c r="B7" s="84"/>
      <c r="C7" s="84"/>
      <c r="D7" s="84"/>
      <c r="E7" s="84"/>
      <c r="F7" s="84"/>
      <c r="G7" s="84"/>
      <c r="H7" s="84"/>
      <c r="I7" s="84"/>
      <c r="J7" s="84"/>
    </row>
    <row r="8" spans="1:10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</row>
    <row r="9" spans="1:10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</row>
    <row r="10" spans="1:10" x14ac:dyDescent="0.25">
      <c r="A10" s="84"/>
      <c r="B10" s="84"/>
      <c r="C10" s="84"/>
      <c r="D10" s="84"/>
      <c r="E10" s="84"/>
      <c r="F10" s="84"/>
      <c r="G10" s="84"/>
      <c r="H10" s="84"/>
      <c r="I10" s="84"/>
      <c r="J10" s="84"/>
    </row>
    <row r="11" spans="1:10" x14ac:dyDescent="0.25">
      <c r="A11" s="78" t="s">
        <v>266</v>
      </c>
    </row>
    <row r="12" spans="1:10" x14ac:dyDescent="0.25">
      <c r="I12" s="78" t="s">
        <v>263</v>
      </c>
    </row>
    <row r="13" spans="1:10" x14ac:dyDescent="0.25">
      <c r="A13" s="78" t="s">
        <v>181</v>
      </c>
    </row>
    <row r="14" spans="1:10" x14ac:dyDescent="0.25">
      <c r="A14" s="78" t="s">
        <v>185</v>
      </c>
      <c r="I14" s="78" t="s">
        <v>186</v>
      </c>
    </row>
    <row r="18" spans="1:9" x14ac:dyDescent="0.25">
      <c r="A18" s="85" t="s">
        <v>182</v>
      </c>
      <c r="I18" s="78" t="s">
        <v>264</v>
      </c>
    </row>
    <row r="19" spans="1:9" x14ac:dyDescent="0.25">
      <c r="A19" s="78" t="s">
        <v>183</v>
      </c>
      <c r="I19" s="78" t="s">
        <v>265</v>
      </c>
    </row>
  </sheetData>
  <mergeCells count="8">
    <mergeCell ref="C5:C6"/>
    <mergeCell ref="B5:B6"/>
    <mergeCell ref="A5:A6"/>
    <mergeCell ref="I5:I6"/>
    <mergeCell ref="J5:J6"/>
    <mergeCell ref="F5:H5"/>
    <mergeCell ref="E5:E6"/>
    <mergeCell ref="D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SAMPUL</vt:lpstr>
      <vt:lpstr>SPV. ADM. PEMBLJRN.</vt:lpstr>
      <vt:lpstr>RPP-PPM</vt:lpstr>
      <vt:lpstr>SPV. PELAKSANAAN PEMBELAJARAN</vt:lpstr>
      <vt:lpstr>Analisis Data SUPAK</vt:lpstr>
      <vt:lpstr>Jadwal SUPAK</vt:lpstr>
      <vt:lpstr>Form_Telaah Instrumen SUPAK</vt:lpstr>
      <vt:lpstr>Form_Hasil SUPAK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smkn5tng</cp:lastModifiedBy>
  <cp:lastPrinted>2025-11-04T00:38:59Z</cp:lastPrinted>
  <dcterms:created xsi:type="dcterms:W3CDTF">2025-10-22T17:20:42Z</dcterms:created>
  <dcterms:modified xsi:type="dcterms:W3CDTF">2025-11-04T00:51:36Z</dcterms:modified>
</cp:coreProperties>
</file>